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dh\Desktop\Files\Automation\"/>
    </mc:Choice>
  </mc:AlternateContent>
  <xr:revisionPtr revIDLastSave="0" documentId="13_ncr:1_{DD4A1F80-CD73-4E4B-A1F1-83DBB07885C4}" xr6:coauthVersionLast="47" xr6:coauthVersionMax="47" xr10:uidLastSave="{00000000-0000-0000-0000-000000000000}"/>
  <bookViews>
    <workbookView xWindow="-108" yWindow="-108" windowWidth="23256" windowHeight="12456" activeTab="1" xr2:uid="{0D776F7F-0862-426E-9D5B-D1FD74BC8368}"/>
  </bookViews>
  <sheets>
    <sheet name="FIPILIPI" sheetId="2" r:id="rId1"/>
    <sheet name="Main" sheetId="1" r:id="rId2"/>
  </sheets>
  <definedNames>
    <definedName name="ExternalData_1" localSheetId="0" hidden="1">FIPILIPI!$A$1:$D$196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N14" i="1"/>
  <c r="M14" i="1"/>
  <c r="L14" i="1"/>
  <c r="K14" i="1"/>
  <c r="J14" i="1"/>
  <c r="I14" i="1"/>
  <c r="H14" i="1"/>
  <c r="G14" i="1"/>
  <c r="F14" i="1"/>
  <c r="E14" i="1"/>
  <c r="D14" i="1"/>
  <c r="N13" i="1"/>
  <c r="M13" i="1"/>
  <c r="L13" i="1"/>
  <c r="K13" i="1"/>
  <c r="J13" i="1"/>
  <c r="I13" i="1"/>
  <c r="H13" i="1"/>
  <c r="G13" i="1"/>
  <c r="F13" i="1"/>
  <c r="E13" i="1"/>
  <c r="D13" i="1"/>
  <c r="N12" i="1"/>
  <c r="M12" i="1"/>
  <c r="L12" i="1"/>
  <c r="K12" i="1"/>
  <c r="J12" i="1"/>
  <c r="I12" i="1"/>
  <c r="H12" i="1"/>
  <c r="G12" i="1"/>
  <c r="F12" i="1"/>
  <c r="E12" i="1"/>
  <c r="D12" i="1"/>
  <c r="N11" i="1"/>
  <c r="M11" i="1"/>
  <c r="L11" i="1"/>
  <c r="K11" i="1"/>
  <c r="J11" i="1"/>
  <c r="I11" i="1"/>
  <c r="H11" i="1"/>
  <c r="G11" i="1"/>
  <c r="F11" i="1"/>
  <c r="E11" i="1"/>
  <c r="D11" i="1"/>
  <c r="N10" i="1"/>
  <c r="M10" i="1"/>
  <c r="L10" i="1"/>
  <c r="K10" i="1"/>
  <c r="J10" i="1"/>
  <c r="I10" i="1"/>
  <c r="H10" i="1"/>
  <c r="G10" i="1"/>
  <c r="F10" i="1"/>
  <c r="E10" i="1"/>
  <c r="D10" i="1"/>
  <c r="N9" i="1"/>
  <c r="M9" i="1"/>
  <c r="L9" i="1"/>
  <c r="K9" i="1"/>
  <c r="J9" i="1"/>
  <c r="I9" i="1"/>
  <c r="H9" i="1"/>
  <c r="G9" i="1"/>
  <c r="F9" i="1"/>
  <c r="E9" i="1"/>
  <c r="D9" i="1"/>
  <c r="N8" i="1"/>
  <c r="M8" i="1"/>
  <c r="L8" i="1"/>
  <c r="K8" i="1"/>
  <c r="J8" i="1"/>
  <c r="I8" i="1"/>
  <c r="H8" i="1"/>
  <c r="G8" i="1"/>
  <c r="F8" i="1"/>
  <c r="E8" i="1"/>
  <c r="D8" i="1"/>
  <c r="N7" i="1"/>
  <c r="M7" i="1"/>
  <c r="L7" i="1"/>
  <c r="K7" i="1"/>
  <c r="J7" i="1"/>
  <c r="I7" i="1"/>
  <c r="H7" i="1"/>
  <c r="G7" i="1"/>
  <c r="F7" i="1"/>
  <c r="E7" i="1"/>
  <c r="D7" i="1"/>
  <c r="N5" i="1"/>
  <c r="M5" i="1"/>
  <c r="L5" i="1"/>
  <c r="K5" i="1"/>
  <c r="J5" i="1"/>
  <c r="I5" i="1"/>
  <c r="H5" i="1"/>
  <c r="G5" i="1"/>
  <c r="F5" i="1"/>
  <c r="E5" i="1"/>
  <c r="D5" i="1"/>
  <c r="N4" i="1"/>
  <c r="M4" i="1"/>
  <c r="L4" i="1"/>
  <c r="K4" i="1"/>
  <c r="J4" i="1"/>
  <c r="I4" i="1"/>
  <c r="H4" i="1"/>
  <c r="G4" i="1"/>
  <c r="F4" i="1"/>
  <c r="E4" i="1"/>
  <c r="D4" i="1"/>
  <c r="N3" i="1"/>
  <c r="M3" i="1"/>
  <c r="L3" i="1"/>
  <c r="K3" i="1"/>
  <c r="J3" i="1"/>
  <c r="I3" i="1"/>
  <c r="H3" i="1"/>
  <c r="G3" i="1"/>
  <c r="F3" i="1"/>
  <c r="E3" i="1"/>
  <c r="D3" i="1"/>
  <c r="E19" i="1" a="1"/>
  <c r="E19" i="1" s="1"/>
  <c r="B20" i="1"/>
  <c r="B21" i="1"/>
  <c r="B22" i="1"/>
  <c r="B23" i="1"/>
  <c r="B24" i="1"/>
  <c r="B26" i="1"/>
  <c r="B19" i="1"/>
  <c r="F15" i="1" l="1"/>
  <c r="F21" i="1" s="1"/>
  <c r="N6" i="1"/>
  <c r="L6" i="1"/>
  <c r="J6" i="1"/>
  <c r="G6" i="1"/>
  <c r="F6" i="1"/>
  <c r="J15" i="1"/>
  <c r="F25" i="1" s="1"/>
  <c r="L15" i="1"/>
  <c r="F27" i="1" s="1"/>
  <c r="H15" i="1"/>
  <c r="F23" i="1" s="1"/>
  <c r="G15" i="1"/>
  <c r="F22" i="1" s="1"/>
  <c r="N15" i="1"/>
  <c r="M15" i="1"/>
  <c r="F28" i="1" s="1"/>
  <c r="I15" i="1"/>
  <c r="F24" i="1" s="1"/>
  <c r="E15" i="1"/>
  <c r="F20" i="1" s="1"/>
  <c r="M6" i="1"/>
  <c r="I6" i="1"/>
  <c r="E6" i="1"/>
  <c r="H6" i="1"/>
  <c r="D6" i="1"/>
  <c r="C12" i="1"/>
  <c r="C24" i="1" s="1"/>
  <c r="C8" i="1"/>
  <c r="C20" i="1" s="1"/>
  <c r="C5" i="1"/>
  <c r="C13" i="1"/>
  <c r="C25" i="1" s="1"/>
  <c r="C9" i="1"/>
  <c r="C21" i="1" s="1"/>
  <c r="C14" i="1"/>
  <c r="C26" i="1" s="1"/>
  <c r="C10" i="1"/>
  <c r="C22" i="1" s="1"/>
  <c r="C3" i="1"/>
  <c r="D15" i="1"/>
  <c r="F19" i="1" s="1"/>
  <c r="K15" i="1"/>
  <c r="F26" i="1" s="1"/>
  <c r="C11" i="1"/>
  <c r="C23" i="1" s="1"/>
  <c r="C7" i="1"/>
  <c r="C19" i="1" s="1"/>
  <c r="C4" i="1"/>
  <c r="K6" i="1"/>
  <c r="C6" i="1" l="1"/>
  <c r="C1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647C24-0B50-43B2-B0FC-C7450EB43F37}" keepAlive="1" name="Query - FIPILIPI" description="Connection to the 'FIPILIPI' query in the workbook." type="5" refreshedVersion="8" background="1" refreshOnLoad="1" saveData="1">
    <dbPr connection="Provider=Microsoft.Mashup.OleDb.1;Data Source=$Workbook$;Location=FIPILIPI;Extended Properties=&quot;&quot;" command="SELECT * FROM [FIPILIPI]"/>
  </connection>
  <connection id="2" xr16:uid="{6D743BE5-931E-4A1F-8F8A-8047CAF7121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4CB103B9-3EE3-44E3-8113-0AE3D4817D1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0C4DC89E-B70D-4BDA-BAA9-0351F31B86D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D6541F1C-F6AE-41B9-AAA8-CDCFC0396949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<sst xmlns="http://schemas.openxmlformats.org/spreadsheetml/2006/main" count="618" uniqueCount="55">
  <si>
    <t>USD</t>
  </si>
  <si>
    <t>fipi-sector-wise.csv</t>
  </si>
  <si>
    <t>FOREIGN CORPORATES</t>
  </si>
  <si>
    <t>Cement</t>
  </si>
  <si>
    <t>Fertilizer</t>
  </si>
  <si>
    <t>Oil and Gas Exploration Companies</t>
  </si>
  <si>
    <t>Oil and Gas Marketing Companies</t>
  </si>
  <si>
    <t>Power Generation and Distribution</t>
  </si>
  <si>
    <t>Commercial Banks</t>
  </si>
  <si>
    <t>Technology and Communication</t>
  </si>
  <si>
    <t>Textile Composite</t>
  </si>
  <si>
    <t>All other Sectors</t>
  </si>
  <si>
    <t/>
  </si>
  <si>
    <t>---</t>
  </si>
  <si>
    <t>FOREIGN INDIVIDUAL</t>
  </si>
  <si>
    <t>OVERSEAS PAKISTANI</t>
  </si>
  <si>
    <t>Food and Personal Care Products</t>
  </si>
  <si>
    <t>lipi-sector-wise.csv</t>
  </si>
  <si>
    <t>INDIVIDUALS</t>
  </si>
  <si>
    <t>COMPANIES</t>
  </si>
  <si>
    <t>BANKS / DFI</t>
  </si>
  <si>
    <t>NBFC</t>
  </si>
  <si>
    <t>MUTUAL FUNDS</t>
  </si>
  <si>
    <t>OTHER ORGANIZATION</t>
  </si>
  <si>
    <t>BROKER PROPRIETARY TRADING</t>
  </si>
  <si>
    <t>INSURANCE COMPANIES</t>
  </si>
  <si>
    <t>Food</t>
  </si>
  <si>
    <t>OGEC</t>
  </si>
  <si>
    <t>OGMC</t>
  </si>
  <si>
    <t>Power</t>
  </si>
  <si>
    <t>Banks</t>
  </si>
  <si>
    <t>Technology</t>
  </si>
  <si>
    <t>Textile</t>
  </si>
  <si>
    <t>Others</t>
  </si>
  <si>
    <t>Net</t>
  </si>
  <si>
    <t>Foreign Individuals</t>
  </si>
  <si>
    <t>Foreign Corporates</t>
  </si>
  <si>
    <t>Overseas Pakistanis</t>
  </si>
  <si>
    <t>Total FIPI</t>
  </si>
  <si>
    <t>Individuals</t>
  </si>
  <si>
    <t>Companies</t>
  </si>
  <si>
    <t>Banks/DFI</t>
  </si>
  <si>
    <t>Mutual Funds</t>
  </si>
  <si>
    <t>Other ORGs</t>
  </si>
  <si>
    <t>Brokers</t>
  </si>
  <si>
    <t>Insurance</t>
  </si>
  <si>
    <t>Total LIPI</t>
  </si>
  <si>
    <t>LIPI by Investors</t>
  </si>
  <si>
    <t>LIPI by Sectors</t>
  </si>
  <si>
    <t>Net USD (m)</t>
  </si>
  <si>
    <t>Source</t>
  </si>
  <si>
    <t>Investor</t>
  </si>
  <si>
    <t>Sector</t>
  </si>
  <si>
    <t>Debt</t>
  </si>
  <si>
    <t>Debt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</si>
</sst>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;@"/>
    <numFmt numFmtId="165" formatCode="0.00;\(0.00\);0.00;@"/>
  </numFmts>
  <fonts count="4" x14ac:knownFonts="1">
    <font>
      <sz val="11"/>
      <color theme="1"/>
      <name val="aptos"/>
      <family val="2"/>
    </font>
    <font>
      <sz val="11"/>
      <color theme="1"/>
      <name val="Lucida Fax"/>
      <family val="1"/>
    </font>
    <font>
      <b/>
      <sz val="11"/>
      <color theme="1"/>
      <name val="Lucida Fax"/>
      <family val="1"/>
    </font>
    <font>
      <sz val="8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165" fontId="1" fillId="0" borderId="0" xfId="0" applyNumberFormat="1" applyFont="1"/>
    <xf numFmtId="165" fontId="1" fillId="0" borderId="1" xfId="0" applyNumberFormat="1" applyFont="1" applyBorder="1" applyAlignment="1">
      <alignment horizontal="right" vertical="center"/>
    </xf>
    <xf numFmtId="165" fontId="0" fillId="0" borderId="1" xfId="0" applyNumberFormat="1" applyBorder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A3481"/>
      <color rgb="FF6F94FF"/>
      <color rgb="FFF6F1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Lucida Fax" panose="02060602050505020204" pitchFamily="18" charset="0"/>
                <a:ea typeface="+mn-ea"/>
                <a:cs typeface="+mn-cs"/>
              </a:defRPr>
            </a:pPr>
            <a:r>
              <a:rPr lang="en-US" sz="1600"/>
              <a:t>LIPI by Investors </a:t>
            </a:r>
            <a:r>
              <a:rPr lang="en-US" sz="1200" i="1"/>
              <a:t>(USD Million)</a:t>
            </a:r>
            <a:endParaRPr lang="en-US" sz="1600" i="1"/>
          </a:p>
        </c:rich>
      </c:tx>
      <c:layout>
        <c:manualLayout>
          <c:xMode val="edge"/>
          <c:yMode val="edge"/>
          <c:x val="0.259987193560190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Lucida Fax" panose="020606020505050202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298329064520064E-2"/>
          <c:y val="0.15226296296296296"/>
          <c:w val="0.95740334187095988"/>
          <c:h val="0.42439043209876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Main!$C$18</c:f>
              <c:strCache>
                <c:ptCount val="1"/>
                <c:pt idx="0">
                  <c:v>Net USD (m)</c:v>
                </c:pt>
              </c:strCache>
            </c:strRef>
          </c:tx>
          <c:spPr>
            <a:solidFill>
              <a:srgbClr val="1A3481"/>
            </a:solidFill>
            <a:ln>
              <a:noFill/>
            </a:ln>
            <a:effectLst/>
          </c:spPr>
          <c:invertIfNegative val="0"/>
          <c:dLbls>
            <c:dLbl>
              <c:idx val="7"/>
              <c:layout>
                <c:manualLayout>
                  <c:x val="0"/>
                  <c:y val="1.95990740740740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0423984632272225E-2"/>
                      <c:h val="9.450864197530864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5DC-4040-9A60-FF2CA1415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0" spcCol="0" anchor="t" anchorCtr="0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Lucida Fax" panose="0206060205050502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Main!$B$19:$B$26</c:f>
              <c:strCache>
                <c:ptCount val="8"/>
                <c:pt idx="0">
                  <c:v>Individuals</c:v>
                </c:pt>
                <c:pt idx="1">
                  <c:v>Companies</c:v>
                </c:pt>
                <c:pt idx="2">
                  <c:v>Banks/DFI</c:v>
                </c:pt>
                <c:pt idx="3">
                  <c:v>NBFC</c:v>
                </c:pt>
                <c:pt idx="4">
                  <c:v>Mutual Funds</c:v>
                </c:pt>
                <c:pt idx="5">
                  <c:v>Other ORGs</c:v>
                </c:pt>
                <c:pt idx="6">
                  <c:v>Brokers</c:v>
                </c:pt>
                <c:pt idx="7">
                  <c:v>Insurance</c:v>
                </c:pt>
              </c:strCache>
            </c:strRef>
          </c:cat>
          <c:val>
            <c:numRef>
              <c:f>Main!$C$19:$C$26</c:f>
              <c:numCache>
                <c:formatCode>#,##0.00</c:formatCode>
                <c:ptCount val="8"/>
                <c:pt idx="0">
                  <c:v>19.633997000000001</c:v>
                </c:pt>
                <c:pt idx="1">
                  <c:v>2.8801340000000004</c:v>
                </c:pt>
                <c:pt idx="2">
                  <c:v>-7.0614030000000012</c:v>
                </c:pt>
                <c:pt idx="3">
                  <c:v>1.1507999999999999E-2</c:v>
                </c:pt>
                <c:pt idx="4">
                  <c:v>-6.3037619999999999</c:v>
                </c:pt>
                <c:pt idx="5">
                  <c:v>-1.388979</c:v>
                </c:pt>
                <c:pt idx="6">
                  <c:v>1.4410949999999998</c:v>
                </c:pt>
                <c:pt idx="7">
                  <c:v>-1.6928789999999998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9-4B89-8BF2-03B09E51E8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7739087"/>
        <c:axId val="677743887"/>
      </c:barChart>
      <c:catAx>
        <c:axId val="67773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Lucida Fax" panose="02060602050505020204" pitchFamily="18" charset="0"/>
                <a:ea typeface="+mn-ea"/>
                <a:cs typeface="+mn-cs"/>
              </a:defRPr>
            </a:pPr>
            <a:endParaRPr lang="en-PK"/>
          </a:p>
        </c:txPr>
        <c:crossAx val="677743887"/>
        <c:crosses val="autoZero"/>
        <c:auto val="1"/>
        <c:lblAlgn val="ctr"/>
        <c:lblOffset val="100"/>
        <c:noMultiLvlLbl val="0"/>
      </c:catAx>
      <c:valAx>
        <c:axId val="677743887"/>
        <c:scaling>
          <c:orientation val="minMax"/>
        </c:scaling>
        <c:delete val="1"/>
        <c:axPos val="l"/>
        <c:majorGridlines>
          <c:spPr>
            <a:ln w="12700" cap="flat" cmpd="sng" algn="ctr">
              <a:solidFill>
                <a:schemeClr val="tx1">
                  <a:alpha val="6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67773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Lucida Fax" panose="02060602050505020204" pitchFamily="18" charset="0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0" i="0" u="none" strike="noStrike" kern="1200" spc="0" baseline="0">
                <a:solidFill>
                  <a:schemeClr val="tx1"/>
                </a:solidFill>
                <a:latin typeface="Lucida Fax" panose="02060602050505020204" pitchFamily="18" charset="0"/>
                <a:ea typeface="+mn-ea"/>
                <a:cs typeface="+mn-cs"/>
              </a:defRPr>
            </a:pPr>
            <a:r>
              <a:rPr lang="en-US" sz="1600"/>
              <a:t>LIPI by Sectors </a:t>
            </a:r>
            <a:r>
              <a:rPr lang="en-US" sz="1200" i="1"/>
              <a:t>(USD Million)</a:t>
            </a:r>
            <a:endParaRPr lang="en-US" sz="1600" i="1"/>
          </a:p>
        </c:rich>
      </c:tx>
      <c:layout>
        <c:manualLayout>
          <c:xMode val="edge"/>
          <c:yMode val="edge"/>
          <c:x val="0.2642807049640199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0" i="0" u="none" strike="noStrike" kern="1200" spc="0" baseline="0">
              <a:solidFill>
                <a:schemeClr val="tx1"/>
              </a:solidFill>
              <a:latin typeface="Lucida Fax" panose="020606020505050202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Main!$F$18</c:f>
              <c:strCache>
                <c:ptCount val="1"/>
                <c:pt idx="0">
                  <c:v>Net USD (m)</c:v>
                </c:pt>
              </c:strCache>
            </c:strRef>
          </c:tx>
          <c:spPr>
            <a:solidFill>
              <a:srgbClr val="6F94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Lucida Fax" panose="0206060205050502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Main!$E$19:$E$28</c:f>
              <c:strCache>
                <c:ptCount val="10"/>
                <c:pt idx="0">
                  <c:v>Cement</c:v>
                </c:pt>
                <c:pt idx="1">
                  <c:v>Fertilizer</c:v>
                </c:pt>
                <c:pt idx="2">
                  <c:v>Food</c:v>
                </c:pt>
                <c:pt idx="3">
                  <c:v>OGEC</c:v>
                </c:pt>
                <c:pt idx="4">
                  <c:v>OGMC</c:v>
                </c:pt>
                <c:pt idx="5">
                  <c:v>Power</c:v>
                </c:pt>
                <c:pt idx="6">
                  <c:v>Banks</c:v>
                </c:pt>
                <c:pt idx="7">
                  <c:v>Technology</c:v>
                </c:pt>
                <c:pt idx="8">
                  <c:v>Textile</c:v>
                </c:pt>
                <c:pt idx="9">
                  <c:v>Others</c:v>
                </c:pt>
              </c:strCache>
            </c:strRef>
          </c:cat>
          <c:val>
            <c:numRef>
              <c:f>Main!$F$19:$F$28</c:f>
              <c:numCache>
                <c:formatCode>#,##0.00</c:formatCode>
                <c:ptCount val="10"/>
                <c:pt idx="0">
                  <c:v>0.82268100000000011</c:v>
                </c:pt>
                <c:pt idx="1">
                  <c:v>0.25650000000000006</c:v>
                </c:pt>
                <c:pt idx="2">
                  <c:v>-0.18233299999999997</c:v>
                </c:pt>
                <c:pt idx="3">
                  <c:v>-0.80308500000000005</c:v>
                </c:pt>
                <c:pt idx="4">
                  <c:v>0.87500499999999981</c:v>
                </c:pt>
                <c:pt idx="5">
                  <c:v>1.0910600000000001</c:v>
                </c:pt>
                <c:pt idx="6">
                  <c:v>4.6059100000000015</c:v>
                </c:pt>
                <c:pt idx="7">
                  <c:v>-0.22263700000000008</c:v>
                </c:pt>
                <c:pt idx="8">
                  <c:v>3.1632000000000014E-2</c:v>
                </c:pt>
                <c:pt idx="9">
                  <c:v>1.0449769999999998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B-49F5-B962-1F688B709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3170719"/>
        <c:axId val="793165919"/>
      </c:barChart>
      <c:catAx>
        <c:axId val="79317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Lucida Fax" panose="02060602050505020204" pitchFamily="18" charset="0"/>
                <a:ea typeface="+mn-ea"/>
                <a:cs typeface="+mn-cs"/>
              </a:defRPr>
            </a:pPr>
            <a:endParaRPr lang="en-PK"/>
          </a:p>
        </c:txPr>
        <c:crossAx val="793165919"/>
        <c:crosses val="autoZero"/>
        <c:auto val="1"/>
        <c:lblAlgn val="ctr"/>
        <c:lblOffset val="100"/>
        <c:noMultiLvlLbl val="0"/>
      </c:catAx>
      <c:valAx>
        <c:axId val="793165919"/>
        <c:scaling>
          <c:orientation val="minMax"/>
        </c:scaling>
        <c:delete val="1"/>
        <c:axPos val="l"/>
        <c:majorGridlines>
          <c:spPr>
            <a:ln w="12700" cap="flat" cmpd="sng" algn="ctr">
              <a:solidFill>
                <a:schemeClr val="tx1">
                  <a:alpha val="6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79317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Lucida Fax" panose="02060602050505020204" pitchFamily="18" charset="0"/>
          <a:ea typeface="+mn-ea"/>
          <a:cs typeface="+mn-cs"/>
        </a:defRPr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16</xdr:row>
      <xdr:rowOff>363171</xdr:rowOff>
    </xdr:from>
    <xdr:to>
      <xdr:col>12</xdr:col>
      <xdr:colOff>0</xdr:colOff>
      <xdr:row>29</xdr:row>
      <xdr:rowOff>39922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27DBD8-2C9E-63D5-9311-558358530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17</xdr:row>
      <xdr:rowOff>-1</xdr:rowOff>
    </xdr:from>
    <xdr:to>
      <xdr:col>18</xdr:col>
      <xdr:colOff>376114</xdr:colOff>
      <xdr:row>29</xdr:row>
      <xdr:rowOff>39921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46EBF4-884D-D77F-D381-48762854D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4011CD78-AD6D-41E1-97AF-E587060A49E9}" autoFormatId="16" applyNumberFormats="0" applyBorderFormats="0" applyFontFormats="0" applyPatternFormats="0" applyAlignmentFormats="0" applyWidthHeightFormats="0">
  <queryTableRefresh nextId="19">
    <queryTableFields count="4">
      <queryTableField id="13" name="Source" tableColumnId="1"/>
      <queryTableField id="14" name="Investor" tableColumnId="2"/>
      <queryTableField id="15" name="Sector" tableColumnId="3"/>
      <queryTableField id="12" name="US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229EE1-7598-4E89-A495-66D8A0C42AEF}" name="FIPILIPI" displayName="FIPILIPI" ref="A1:D196" tableType="queryTable" totalsRowShown="0">
  <autoFilter ref="A1:D196" xr:uid="{FF229EE1-7598-4E89-A495-66D8A0C42AEF}"/>
  <tableColumns count="4">
    <tableColumn id="1" xr3:uid="{0EACAD86-28CE-4002-B8C8-40D7BC4EE65A}" uniqueName="1" name="Source" queryTableFieldId="13" dataDxfId="2"/>
    <tableColumn id="2" xr3:uid="{8CE715E1-4BB5-4CE0-97AC-A1FD5E0C9076}" uniqueName="2" name="Investor" queryTableFieldId="14" dataDxfId="1"/>
    <tableColumn id="3" xr3:uid="{E4E41D80-4D50-4478-A194-89FCA80170EE}" uniqueName="3" name="Sector" queryTableFieldId="15" dataDxfId="0"/>
    <tableColumn id="12" xr3:uid="{CD3313E7-5ECB-4AE2-A266-9A15706CDB8E}" uniqueName="12" name="USD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EDF0-A162-46D5-A768-A211A5A339D8}">
  <sheetPr>
    <pageSetUpPr fitToPage="1"/>
  </sheetPr>
  <dimension ref="A1:D196"/>
  <sheetViews>
    <sheetView topLeftCell="A4" workbookViewId="0">
      <selection activeCell="B23" sqref="B23"/>
    </sheetView>
  </sheetViews>
  <sheetFormatPr defaultRowHeight="14.4" x14ac:dyDescent="0.3"/>
  <cols>
    <col min="1" max="1" width="16" bestFit="1" customWidth="1"/>
    <col min="2" max="2" width="27.19921875" bestFit="1" customWidth="1"/>
    <col min="3" max="3" width="29.09765625" bestFit="1" customWidth="1"/>
    <col min="4" max="4" width="8.8984375" bestFit="1" customWidth="1"/>
    <col min="5" max="5" width="27.19921875" bestFit="1" customWidth="1"/>
    <col min="6" max="6" width="11.59765625" bestFit="1" customWidth="1"/>
    <col min="7" max="7" width="29.09765625" bestFit="1" customWidth="1"/>
    <col min="8" max="8" width="14.09765625" bestFit="1" customWidth="1"/>
    <col min="9" max="9" width="13.8984375" bestFit="1" customWidth="1"/>
    <col min="10" max="10" width="17" bestFit="1" customWidth="1"/>
    <col min="11" max="11" width="14.19921875" bestFit="1" customWidth="1"/>
    <col min="12" max="12" width="17.3984375" bestFit="1" customWidth="1"/>
    <col min="13" max="13" width="13.59765625" bestFit="1" customWidth="1"/>
    <col min="14" max="14" width="16.69921875" bestFit="1" customWidth="1"/>
    <col min="15" max="15" width="8.5" bestFit="1" customWidth="1"/>
  </cols>
  <sheetData>
    <row r="1" spans="1:4" x14ac:dyDescent="0.3">
      <c r="A1" t="s">
        <v>50</v>
      </c>
      <c r="B1" t="s">
        <v>51</v>
      </c>
      <c r="C1" t="s">
        <v>52</v>
      </c>
      <c r="D1" t="s">
        <v>0</v>
      </c>
    </row>
    <row r="2" spans="1:4" x14ac:dyDescent="0.3">
      <c r="A2" s="12" t="s">
        <v>1</v>
      </c>
      <c r="B2" s="12" t="s">
        <v>2</v>
      </c>
      <c r="C2" s="12" t="s">
        <v>3</v>
      </c>
      <c r="D2">
        <v>-1036671</v>
      </c>
    </row>
    <row r="3" spans="1:4" x14ac:dyDescent="0.3">
      <c r="A3" s="12" t="s">
        <v>1</v>
      </c>
      <c r="B3" s="12" t="s">
        <v>2</v>
      </c>
      <c r="C3" s="12" t="s">
        <v>4</v>
      </c>
      <c r="D3">
        <v>-399230</v>
      </c>
    </row>
    <row r="4" spans="1:4" x14ac:dyDescent="0.3">
      <c r="A4" s="12" t="s">
        <v>1</v>
      </c>
      <c r="B4" s="12" t="s">
        <v>2</v>
      </c>
      <c r="C4" s="12" t="s">
        <v>5</v>
      </c>
      <c r="D4">
        <v>17259</v>
      </c>
    </row>
    <row r="5" spans="1:4" x14ac:dyDescent="0.3">
      <c r="A5" s="12" t="s">
        <v>1</v>
      </c>
      <c r="B5" s="12" t="s">
        <v>2</v>
      </c>
      <c r="C5" s="12" t="s">
        <v>6</v>
      </c>
      <c r="D5">
        <v>-18432</v>
      </c>
    </row>
    <row r="6" spans="1:4" x14ac:dyDescent="0.3">
      <c r="A6" s="12" t="s">
        <v>1</v>
      </c>
      <c r="B6" s="12" t="s">
        <v>2</v>
      </c>
      <c r="C6" s="12" t="s">
        <v>7</v>
      </c>
      <c r="D6">
        <v>-66883</v>
      </c>
    </row>
    <row r="7" spans="1:4" x14ac:dyDescent="0.3">
      <c r="A7" s="12" t="s">
        <v>1</v>
      </c>
      <c r="B7" s="12" t="s">
        <v>2</v>
      </c>
      <c r="C7" s="12" t="s">
        <v>8</v>
      </c>
      <c r="D7">
        <v>-7206210</v>
      </c>
    </row>
    <row r="8" spans="1:4" x14ac:dyDescent="0.3">
      <c r="A8" s="12" t="s">
        <v>1</v>
      </c>
      <c r="B8" s="12" t="s">
        <v>2</v>
      </c>
      <c r="C8" s="12" t="s">
        <v>9</v>
      </c>
      <c r="D8">
        <v>-202534</v>
      </c>
    </row>
    <row r="9" spans="1:4" x14ac:dyDescent="0.3">
      <c r="A9" s="12" t="s">
        <v>1</v>
      </c>
      <c r="B9" s="12" t="s">
        <v>2</v>
      </c>
      <c r="C9" s="12" t="s">
        <v>10</v>
      </c>
      <c r="D9">
        <v>8035</v>
      </c>
    </row>
    <row r="10" spans="1:4" x14ac:dyDescent="0.3">
      <c r="A10" s="12" t="s">
        <v>1</v>
      </c>
      <c r="B10" s="12" t="s">
        <v>2</v>
      </c>
      <c r="C10" s="12" t="s">
        <v>11</v>
      </c>
      <c r="D10">
        <v>250724</v>
      </c>
    </row>
    <row r="11" spans="1:4" x14ac:dyDescent="0.3">
      <c r="A11" s="12" t="s">
        <v>1</v>
      </c>
      <c r="B11" s="12" t="s">
        <v>12</v>
      </c>
      <c r="C11" s="12" t="s">
        <v>13</v>
      </c>
      <c r="D11">
        <v>-8653942</v>
      </c>
    </row>
    <row r="12" spans="1:4" x14ac:dyDescent="0.3">
      <c r="A12" s="12" t="s">
        <v>1</v>
      </c>
      <c r="B12" s="12" t="s">
        <v>14</v>
      </c>
      <c r="C12" s="12" t="s">
        <v>16</v>
      </c>
      <c r="D12">
        <v>-389</v>
      </c>
    </row>
    <row r="13" spans="1:4" x14ac:dyDescent="0.3">
      <c r="A13" s="12" t="s">
        <v>1</v>
      </c>
      <c r="B13" s="12" t="s">
        <v>14</v>
      </c>
      <c r="C13" s="12" t="s">
        <v>9</v>
      </c>
      <c r="D13">
        <v>450</v>
      </c>
    </row>
    <row r="14" spans="1:4" x14ac:dyDescent="0.3">
      <c r="A14" s="12" t="s">
        <v>1</v>
      </c>
      <c r="B14" s="12" t="s">
        <v>14</v>
      </c>
      <c r="C14" s="12" t="s">
        <v>7</v>
      </c>
      <c r="D14">
        <v>-7</v>
      </c>
    </row>
    <row r="15" spans="1:4" x14ac:dyDescent="0.3">
      <c r="A15" s="12" t="s">
        <v>1</v>
      </c>
      <c r="B15" s="12" t="s">
        <v>14</v>
      </c>
      <c r="C15" s="12" t="s">
        <v>11</v>
      </c>
      <c r="D15">
        <v>-8</v>
      </c>
    </row>
    <row r="16" spans="1:4" x14ac:dyDescent="0.3">
      <c r="A16" s="12" t="s">
        <v>1</v>
      </c>
      <c r="B16" s="12" t="s">
        <v>12</v>
      </c>
      <c r="C16" s="12" t="s">
        <v>13</v>
      </c>
      <c r="D16">
        <v>45</v>
      </c>
    </row>
    <row r="17" spans="1:4" x14ac:dyDescent="0.3">
      <c r="A17" s="12" t="s">
        <v>1</v>
      </c>
      <c r="B17" s="12" t="s">
        <v>15</v>
      </c>
      <c r="C17" s="12" t="s">
        <v>3</v>
      </c>
      <c r="D17">
        <v>90500</v>
      </c>
    </row>
    <row r="18" spans="1:4" x14ac:dyDescent="0.3">
      <c r="A18" s="12" t="s">
        <v>1</v>
      </c>
      <c r="B18" s="12" t="s">
        <v>15</v>
      </c>
      <c r="C18" s="12" t="s">
        <v>4</v>
      </c>
      <c r="D18">
        <v>-12918</v>
      </c>
    </row>
    <row r="19" spans="1:4" x14ac:dyDescent="0.3">
      <c r="A19" s="12" t="s">
        <v>1</v>
      </c>
      <c r="B19" s="12" t="s">
        <v>15</v>
      </c>
      <c r="C19" s="12" t="s">
        <v>16</v>
      </c>
      <c r="D19">
        <v>39913</v>
      </c>
    </row>
    <row r="20" spans="1:4" x14ac:dyDescent="0.3">
      <c r="A20" s="12" t="s">
        <v>1</v>
      </c>
      <c r="B20" s="12" t="s">
        <v>15</v>
      </c>
      <c r="C20" s="12" t="s">
        <v>5</v>
      </c>
      <c r="D20">
        <v>73504</v>
      </c>
    </row>
    <row r="21" spans="1:4" x14ac:dyDescent="0.3">
      <c r="A21" s="12" t="s">
        <v>1</v>
      </c>
      <c r="B21" s="12" t="s">
        <v>15</v>
      </c>
      <c r="C21" s="12" t="s">
        <v>6</v>
      </c>
      <c r="D21">
        <v>-685988</v>
      </c>
    </row>
    <row r="22" spans="1:4" x14ac:dyDescent="0.3">
      <c r="A22" s="12" t="s">
        <v>1</v>
      </c>
      <c r="B22" s="12" t="s">
        <v>15</v>
      </c>
      <c r="C22" s="12" t="s">
        <v>7</v>
      </c>
      <c r="D22">
        <v>-365317</v>
      </c>
    </row>
    <row r="23" spans="1:4" x14ac:dyDescent="0.3">
      <c r="A23" s="12" t="s">
        <v>1</v>
      </c>
      <c r="B23" s="12" t="s">
        <v>15</v>
      </c>
      <c r="C23" s="12" t="s">
        <v>8</v>
      </c>
      <c r="D23">
        <v>-471690</v>
      </c>
    </row>
    <row r="24" spans="1:4" x14ac:dyDescent="0.3">
      <c r="A24" s="12" t="s">
        <v>1</v>
      </c>
      <c r="B24" s="12" t="s">
        <v>15</v>
      </c>
      <c r="C24" s="12" t="s">
        <v>9</v>
      </c>
      <c r="D24">
        <v>61871</v>
      </c>
    </row>
    <row r="25" spans="1:4" x14ac:dyDescent="0.3">
      <c r="A25" s="12" t="s">
        <v>1</v>
      </c>
      <c r="B25" s="12" t="s">
        <v>15</v>
      </c>
      <c r="C25" s="12" t="s">
        <v>10</v>
      </c>
      <c r="D25">
        <v>8135</v>
      </c>
    </row>
    <row r="26" spans="1:4" x14ac:dyDescent="0.3">
      <c r="A26" s="12" t="s">
        <v>1</v>
      </c>
      <c r="B26" s="12" t="s">
        <v>15</v>
      </c>
      <c r="C26" s="12" t="s">
        <v>11</v>
      </c>
      <c r="D26">
        <v>21936</v>
      </c>
    </row>
    <row r="27" spans="1:4" x14ac:dyDescent="0.3">
      <c r="A27" s="12" t="s">
        <v>1</v>
      </c>
      <c r="B27" s="12" t="s">
        <v>15</v>
      </c>
      <c r="C27" s="12" t="s">
        <v>7</v>
      </c>
      <c r="D27">
        <v>-198</v>
      </c>
    </row>
    <row r="28" spans="1:4" x14ac:dyDescent="0.3">
      <c r="A28" s="12" t="s">
        <v>1</v>
      </c>
      <c r="B28" s="12" t="s">
        <v>15</v>
      </c>
      <c r="C28" s="12" t="s">
        <v>6</v>
      </c>
      <c r="D28">
        <v>-7500</v>
      </c>
    </row>
    <row r="29" spans="1:4" x14ac:dyDescent="0.3">
      <c r="A29" s="12" t="s">
        <v>1</v>
      </c>
      <c r="B29" s="12" t="s">
        <v>15</v>
      </c>
      <c r="C29" s="12" t="s">
        <v>3</v>
      </c>
      <c r="D29">
        <v>123488</v>
      </c>
    </row>
    <row r="30" spans="1:4" x14ac:dyDescent="0.3">
      <c r="A30" s="12" t="s">
        <v>1</v>
      </c>
      <c r="B30" s="12" t="s">
        <v>15</v>
      </c>
      <c r="C30" s="12" t="s">
        <v>4</v>
      </c>
      <c r="D30">
        <v>155649</v>
      </c>
    </row>
    <row r="31" spans="1:4" x14ac:dyDescent="0.3">
      <c r="A31" s="12" t="s">
        <v>1</v>
      </c>
      <c r="B31" s="12" t="s">
        <v>15</v>
      </c>
      <c r="C31" s="12" t="s">
        <v>16</v>
      </c>
      <c r="D31">
        <v>142808</v>
      </c>
    </row>
    <row r="32" spans="1:4" x14ac:dyDescent="0.3">
      <c r="A32" s="12" t="s">
        <v>1</v>
      </c>
      <c r="B32" s="12" t="s">
        <v>15</v>
      </c>
      <c r="C32" s="12" t="s">
        <v>5</v>
      </c>
      <c r="D32">
        <v>712321</v>
      </c>
    </row>
    <row r="33" spans="1:4" x14ac:dyDescent="0.3">
      <c r="A33" s="12" t="s">
        <v>1</v>
      </c>
      <c r="B33" s="12" t="s">
        <v>15</v>
      </c>
      <c r="C33" s="12" t="s">
        <v>6</v>
      </c>
      <c r="D33">
        <v>-163084</v>
      </c>
    </row>
    <row r="34" spans="1:4" x14ac:dyDescent="0.3">
      <c r="A34" s="12" t="s">
        <v>1</v>
      </c>
      <c r="B34" s="12" t="s">
        <v>15</v>
      </c>
      <c r="C34" s="12" t="s">
        <v>7</v>
      </c>
      <c r="D34">
        <v>-658655</v>
      </c>
    </row>
    <row r="35" spans="1:4" x14ac:dyDescent="0.3">
      <c r="A35" s="12" t="s">
        <v>1</v>
      </c>
      <c r="B35" s="12" t="s">
        <v>15</v>
      </c>
      <c r="C35" s="12" t="s">
        <v>8</v>
      </c>
      <c r="D35">
        <v>3071989</v>
      </c>
    </row>
    <row r="36" spans="1:4" x14ac:dyDescent="0.3">
      <c r="A36" s="12" t="s">
        <v>1</v>
      </c>
      <c r="B36" s="12" t="s">
        <v>15</v>
      </c>
      <c r="C36" s="12" t="s">
        <v>9</v>
      </c>
      <c r="D36">
        <v>362851</v>
      </c>
    </row>
    <row r="37" spans="1:4" x14ac:dyDescent="0.3">
      <c r="A37" s="12" t="s">
        <v>1</v>
      </c>
      <c r="B37" s="12" t="s">
        <v>15</v>
      </c>
      <c r="C37" s="12" t="s">
        <v>10</v>
      </c>
      <c r="D37">
        <v>-47801</v>
      </c>
    </row>
    <row r="38" spans="1:4" x14ac:dyDescent="0.3">
      <c r="A38" s="12" t="s">
        <v>1</v>
      </c>
      <c r="B38" s="12" t="s">
        <v>15</v>
      </c>
      <c r="C38" s="12" t="s">
        <v>11</v>
      </c>
      <c r="D38">
        <v>-1317627</v>
      </c>
    </row>
    <row r="39" spans="1:4" x14ac:dyDescent="0.3">
      <c r="A39" s="12" t="s">
        <v>1</v>
      </c>
      <c r="B39" s="12" t="s">
        <v>12</v>
      </c>
      <c r="C39" s="12" t="s">
        <v>13</v>
      </c>
      <c r="D39">
        <v>1134189</v>
      </c>
    </row>
    <row r="40" spans="1:4" x14ac:dyDescent="0.3">
      <c r="A40" s="12" t="s">
        <v>1</v>
      </c>
      <c r="B40" s="12" t="s">
        <v>12</v>
      </c>
      <c r="C40" s="12" t="s">
        <v>13</v>
      </c>
      <c r="D40">
        <v>-7519708</v>
      </c>
    </row>
    <row r="41" spans="1:4" x14ac:dyDescent="0.3">
      <c r="A41" s="12" t="s">
        <v>17</v>
      </c>
      <c r="B41" s="12" t="s">
        <v>18</v>
      </c>
      <c r="C41" s="12" t="s">
        <v>54</v>
      </c>
      <c r="D41">
        <v>-69</v>
      </c>
    </row>
    <row r="42" spans="1:4" x14ac:dyDescent="0.3">
      <c r="A42" s="12" t="s">
        <v>17</v>
      </c>
      <c r="B42" s="12" t="s">
        <v>18</v>
      </c>
      <c r="C42" s="12" t="s">
        <v>3</v>
      </c>
      <c r="D42">
        <v>97825</v>
      </c>
    </row>
    <row r="43" spans="1:4" x14ac:dyDescent="0.3">
      <c r="A43" s="12" t="s">
        <v>17</v>
      </c>
      <c r="B43" s="12" t="s">
        <v>18</v>
      </c>
      <c r="C43" s="12" t="s">
        <v>4</v>
      </c>
      <c r="D43">
        <v>147414</v>
      </c>
    </row>
    <row r="44" spans="1:4" x14ac:dyDescent="0.3">
      <c r="A44" s="12" t="s">
        <v>17</v>
      </c>
      <c r="B44" s="12" t="s">
        <v>18</v>
      </c>
      <c r="C44" s="12" t="s">
        <v>16</v>
      </c>
      <c r="D44">
        <v>12823</v>
      </c>
    </row>
    <row r="45" spans="1:4" x14ac:dyDescent="0.3">
      <c r="A45" s="12" t="s">
        <v>17</v>
      </c>
      <c r="B45" s="12" t="s">
        <v>18</v>
      </c>
      <c r="C45" s="12" t="s">
        <v>5</v>
      </c>
      <c r="D45">
        <v>243555</v>
      </c>
    </row>
    <row r="46" spans="1:4" x14ac:dyDescent="0.3">
      <c r="A46" s="12" t="s">
        <v>17</v>
      </c>
      <c r="B46" s="12" t="s">
        <v>18</v>
      </c>
      <c r="C46" s="12" t="s">
        <v>6</v>
      </c>
      <c r="D46">
        <v>726605</v>
      </c>
    </row>
    <row r="47" spans="1:4" x14ac:dyDescent="0.3">
      <c r="A47" s="12" t="s">
        <v>17</v>
      </c>
      <c r="B47" s="12" t="s">
        <v>18</v>
      </c>
      <c r="C47" s="12" t="s">
        <v>7</v>
      </c>
      <c r="D47">
        <v>1094996</v>
      </c>
    </row>
    <row r="48" spans="1:4" x14ac:dyDescent="0.3">
      <c r="A48" s="12" t="s">
        <v>17</v>
      </c>
      <c r="B48" s="12" t="s">
        <v>18</v>
      </c>
      <c r="C48" s="12" t="s">
        <v>8</v>
      </c>
      <c r="D48">
        <v>1075707</v>
      </c>
    </row>
    <row r="49" spans="1:4" x14ac:dyDescent="0.3">
      <c r="A49" s="12" t="s">
        <v>17</v>
      </c>
      <c r="B49" s="12" t="s">
        <v>18</v>
      </c>
      <c r="C49" s="12" t="s">
        <v>9</v>
      </c>
      <c r="D49">
        <v>-48012</v>
      </c>
    </row>
    <row r="50" spans="1:4" x14ac:dyDescent="0.3">
      <c r="A50" s="12" t="s">
        <v>17</v>
      </c>
      <c r="B50" s="12" t="s">
        <v>18</v>
      </c>
      <c r="C50" s="12" t="s">
        <v>10</v>
      </c>
      <c r="D50">
        <v>-29139</v>
      </c>
    </row>
    <row r="51" spans="1:4" x14ac:dyDescent="0.3">
      <c r="A51" s="12" t="s">
        <v>17</v>
      </c>
      <c r="B51" s="12" t="s">
        <v>18</v>
      </c>
      <c r="C51" s="12" t="s">
        <v>11</v>
      </c>
      <c r="D51">
        <v>278266</v>
      </c>
    </row>
    <row r="52" spans="1:4" x14ac:dyDescent="0.3">
      <c r="A52" s="12" t="s">
        <v>17</v>
      </c>
      <c r="B52" s="12" t="s">
        <v>18</v>
      </c>
      <c r="C52" s="12" t="s">
        <v>7</v>
      </c>
      <c r="D52">
        <v>198</v>
      </c>
    </row>
    <row r="53" spans="1:4" x14ac:dyDescent="0.3">
      <c r="A53" s="12" t="s">
        <v>17</v>
      </c>
      <c r="B53" s="12" t="s">
        <v>18</v>
      </c>
      <c r="C53" s="12" t="s">
        <v>9</v>
      </c>
      <c r="D53">
        <v>7709</v>
      </c>
    </row>
    <row r="54" spans="1:4" x14ac:dyDescent="0.3">
      <c r="A54" s="12" t="s">
        <v>17</v>
      </c>
      <c r="B54" s="12" t="s">
        <v>18</v>
      </c>
      <c r="C54" s="12" t="s">
        <v>11</v>
      </c>
      <c r="D54">
        <v>4361</v>
      </c>
    </row>
    <row r="55" spans="1:4" x14ac:dyDescent="0.3">
      <c r="A55" s="12" t="s">
        <v>17</v>
      </c>
      <c r="B55" s="12" t="s">
        <v>18</v>
      </c>
      <c r="C55" s="12" t="s">
        <v>3</v>
      </c>
      <c r="D55">
        <v>-8511</v>
      </c>
    </row>
    <row r="56" spans="1:4" x14ac:dyDescent="0.3">
      <c r="A56" s="12" t="s">
        <v>17</v>
      </c>
      <c r="B56" s="12" t="s">
        <v>18</v>
      </c>
      <c r="C56" s="12" t="s">
        <v>4</v>
      </c>
      <c r="D56">
        <v>-30375</v>
      </c>
    </row>
    <row r="57" spans="1:4" x14ac:dyDescent="0.3">
      <c r="A57" s="12" t="s">
        <v>17</v>
      </c>
      <c r="B57" s="12" t="s">
        <v>18</v>
      </c>
      <c r="C57" s="12" t="s">
        <v>16</v>
      </c>
      <c r="D57">
        <v>-160714</v>
      </c>
    </row>
    <row r="58" spans="1:4" x14ac:dyDescent="0.3">
      <c r="A58" s="12" t="s">
        <v>17</v>
      </c>
      <c r="B58" s="12" t="s">
        <v>18</v>
      </c>
      <c r="C58" s="12" t="s">
        <v>5</v>
      </c>
      <c r="D58">
        <v>-59142</v>
      </c>
    </row>
    <row r="59" spans="1:4" x14ac:dyDescent="0.3">
      <c r="A59" s="12" t="s">
        <v>17</v>
      </c>
      <c r="B59" s="12" t="s">
        <v>18</v>
      </c>
      <c r="C59" s="12" t="s">
        <v>6</v>
      </c>
      <c r="D59">
        <v>-86785</v>
      </c>
    </row>
    <row r="60" spans="1:4" x14ac:dyDescent="0.3">
      <c r="A60" s="12" t="s">
        <v>17</v>
      </c>
      <c r="B60" s="12" t="s">
        <v>18</v>
      </c>
      <c r="C60" s="12" t="s">
        <v>7</v>
      </c>
      <c r="D60">
        <v>-50078</v>
      </c>
    </row>
    <row r="61" spans="1:4" x14ac:dyDescent="0.3">
      <c r="A61" s="12" t="s">
        <v>17</v>
      </c>
      <c r="B61" s="12" t="s">
        <v>18</v>
      </c>
      <c r="C61" s="12" t="s">
        <v>8</v>
      </c>
      <c r="D61">
        <v>-142946</v>
      </c>
    </row>
    <row r="62" spans="1:4" x14ac:dyDescent="0.3">
      <c r="A62" s="12" t="s">
        <v>17</v>
      </c>
      <c r="B62" s="12" t="s">
        <v>18</v>
      </c>
      <c r="C62" s="12" t="s">
        <v>9</v>
      </c>
      <c r="D62">
        <v>0</v>
      </c>
    </row>
    <row r="63" spans="1:4" x14ac:dyDescent="0.3">
      <c r="A63" s="12" t="s">
        <v>17</v>
      </c>
      <c r="B63" s="12" t="s">
        <v>18</v>
      </c>
      <c r="C63" s="12" t="s">
        <v>11</v>
      </c>
      <c r="D63">
        <v>-50322</v>
      </c>
    </row>
    <row r="64" spans="1:4" x14ac:dyDescent="0.3">
      <c r="A64" s="12" t="s">
        <v>17</v>
      </c>
      <c r="B64" s="12" t="s">
        <v>18</v>
      </c>
      <c r="C64" s="12" t="s">
        <v>3</v>
      </c>
      <c r="D64">
        <v>576054</v>
      </c>
    </row>
    <row r="65" spans="1:4" x14ac:dyDescent="0.3">
      <c r="A65" s="12" t="s">
        <v>17</v>
      </c>
      <c r="B65" s="12" t="s">
        <v>18</v>
      </c>
      <c r="C65" s="12" t="s">
        <v>4</v>
      </c>
      <c r="D65">
        <v>1982159</v>
      </c>
    </row>
    <row r="66" spans="1:4" x14ac:dyDescent="0.3">
      <c r="A66" s="12" t="s">
        <v>17</v>
      </c>
      <c r="B66" s="12" t="s">
        <v>18</v>
      </c>
      <c r="C66" s="12" t="s">
        <v>16</v>
      </c>
      <c r="D66">
        <v>-146100</v>
      </c>
    </row>
    <row r="67" spans="1:4" x14ac:dyDescent="0.3">
      <c r="A67" s="12" t="s">
        <v>17</v>
      </c>
      <c r="B67" s="12" t="s">
        <v>18</v>
      </c>
      <c r="C67" s="12" t="s">
        <v>5</v>
      </c>
      <c r="D67">
        <v>4388784</v>
      </c>
    </row>
    <row r="68" spans="1:4" x14ac:dyDescent="0.3">
      <c r="A68" s="12" t="s">
        <v>17</v>
      </c>
      <c r="B68" s="12" t="s">
        <v>18</v>
      </c>
      <c r="C68" s="12" t="s">
        <v>6</v>
      </c>
      <c r="D68">
        <v>971264</v>
      </c>
    </row>
    <row r="69" spans="1:4" x14ac:dyDescent="0.3">
      <c r="A69" s="12" t="s">
        <v>17</v>
      </c>
      <c r="B69" s="12" t="s">
        <v>18</v>
      </c>
      <c r="C69" s="12" t="s">
        <v>7</v>
      </c>
      <c r="D69">
        <v>1371985</v>
      </c>
    </row>
    <row r="70" spans="1:4" x14ac:dyDescent="0.3">
      <c r="A70" s="12" t="s">
        <v>17</v>
      </c>
      <c r="B70" s="12" t="s">
        <v>18</v>
      </c>
      <c r="C70" s="12" t="s">
        <v>8</v>
      </c>
      <c r="D70">
        <v>4609929</v>
      </c>
    </row>
    <row r="71" spans="1:4" x14ac:dyDescent="0.3">
      <c r="A71" s="12" t="s">
        <v>17</v>
      </c>
      <c r="B71" s="12" t="s">
        <v>18</v>
      </c>
      <c r="C71" s="12" t="s">
        <v>9</v>
      </c>
      <c r="D71">
        <v>-270408</v>
      </c>
    </row>
    <row r="72" spans="1:4" x14ac:dyDescent="0.3">
      <c r="A72" s="12" t="s">
        <v>17</v>
      </c>
      <c r="B72" s="12" t="s">
        <v>18</v>
      </c>
      <c r="C72" s="12" t="s">
        <v>10</v>
      </c>
      <c r="D72">
        <v>-146118</v>
      </c>
    </row>
    <row r="73" spans="1:4" x14ac:dyDescent="0.3">
      <c r="A73" s="12" t="s">
        <v>17</v>
      </c>
      <c r="B73" s="12" t="s">
        <v>18</v>
      </c>
      <c r="C73" s="12" t="s">
        <v>11</v>
      </c>
      <c r="D73">
        <v>3273082</v>
      </c>
    </row>
    <row r="74" spans="1:4" x14ac:dyDescent="0.3">
      <c r="A74" s="12" t="s">
        <v>17</v>
      </c>
      <c r="B74" s="12" t="s">
        <v>12</v>
      </c>
      <c r="C74" s="12" t="s">
        <v>12</v>
      </c>
      <c r="D74">
        <v>19633999</v>
      </c>
    </row>
    <row r="75" spans="1:4" x14ac:dyDescent="0.3">
      <c r="A75" s="12" t="s">
        <v>17</v>
      </c>
      <c r="B75" s="12" t="s">
        <v>19</v>
      </c>
      <c r="C75" s="12" t="s">
        <v>3</v>
      </c>
      <c r="D75">
        <v>43551</v>
      </c>
    </row>
    <row r="76" spans="1:4" x14ac:dyDescent="0.3">
      <c r="A76" s="12" t="s">
        <v>17</v>
      </c>
      <c r="B76" s="12" t="s">
        <v>19</v>
      </c>
      <c r="C76" s="12" t="s">
        <v>4</v>
      </c>
      <c r="D76">
        <v>-2199</v>
      </c>
    </row>
    <row r="77" spans="1:4" x14ac:dyDescent="0.3">
      <c r="A77" s="12" t="s">
        <v>17</v>
      </c>
      <c r="B77" s="12" t="s">
        <v>19</v>
      </c>
      <c r="C77" s="12" t="s">
        <v>16</v>
      </c>
      <c r="D77">
        <v>-8677</v>
      </c>
    </row>
    <row r="78" spans="1:4" x14ac:dyDescent="0.3">
      <c r="A78" s="12" t="s">
        <v>17</v>
      </c>
      <c r="B78" s="12" t="s">
        <v>19</v>
      </c>
      <c r="C78" s="12" t="s">
        <v>5</v>
      </c>
      <c r="D78">
        <v>65259</v>
      </c>
    </row>
    <row r="79" spans="1:4" x14ac:dyDescent="0.3">
      <c r="A79" s="12" t="s">
        <v>17</v>
      </c>
      <c r="B79" s="12" t="s">
        <v>19</v>
      </c>
      <c r="C79" s="12" t="s">
        <v>6</v>
      </c>
      <c r="D79">
        <v>57624</v>
      </c>
    </row>
    <row r="80" spans="1:4" x14ac:dyDescent="0.3">
      <c r="A80" s="12" t="s">
        <v>17</v>
      </c>
      <c r="B80" s="12" t="s">
        <v>19</v>
      </c>
      <c r="C80" s="12" t="s">
        <v>7</v>
      </c>
      <c r="D80">
        <v>116028</v>
      </c>
    </row>
    <row r="81" spans="1:4" x14ac:dyDescent="0.3">
      <c r="A81" s="12" t="s">
        <v>17</v>
      </c>
      <c r="B81" s="12" t="s">
        <v>19</v>
      </c>
      <c r="C81" s="12" t="s">
        <v>8</v>
      </c>
      <c r="D81">
        <v>85319</v>
      </c>
    </row>
    <row r="82" spans="1:4" x14ac:dyDescent="0.3">
      <c r="A82" s="12" t="s">
        <v>17</v>
      </c>
      <c r="B82" s="12" t="s">
        <v>19</v>
      </c>
      <c r="C82" s="12" t="s">
        <v>9</v>
      </c>
      <c r="D82">
        <v>-38089</v>
      </c>
    </row>
    <row r="83" spans="1:4" x14ac:dyDescent="0.3">
      <c r="A83" s="12" t="s">
        <v>17</v>
      </c>
      <c r="B83" s="12" t="s">
        <v>19</v>
      </c>
      <c r="C83" s="12" t="s">
        <v>10</v>
      </c>
      <c r="D83">
        <v>16007</v>
      </c>
    </row>
    <row r="84" spans="1:4" x14ac:dyDescent="0.3">
      <c r="A84" s="12" t="s">
        <v>17</v>
      </c>
      <c r="B84" s="12" t="s">
        <v>19</v>
      </c>
      <c r="C84" s="12" t="s">
        <v>11</v>
      </c>
      <c r="D84">
        <v>-24748</v>
      </c>
    </row>
    <row r="85" spans="1:4" x14ac:dyDescent="0.3">
      <c r="A85" s="12" t="s">
        <v>17</v>
      </c>
      <c r="B85" s="12" t="s">
        <v>19</v>
      </c>
      <c r="C85" s="12" t="s">
        <v>9</v>
      </c>
      <c r="D85">
        <v>-779</v>
      </c>
    </row>
    <row r="86" spans="1:4" x14ac:dyDescent="0.3">
      <c r="A86" s="12" t="s">
        <v>17</v>
      </c>
      <c r="B86" s="12" t="s">
        <v>19</v>
      </c>
      <c r="C86" s="12" t="s">
        <v>11</v>
      </c>
      <c r="D86">
        <v>-1260</v>
      </c>
    </row>
    <row r="87" spans="1:4" x14ac:dyDescent="0.3">
      <c r="A87" s="12" t="s">
        <v>17</v>
      </c>
      <c r="B87" s="12" t="s">
        <v>19</v>
      </c>
      <c r="C87" s="12" t="s">
        <v>3</v>
      </c>
      <c r="D87">
        <v>405957</v>
      </c>
    </row>
    <row r="88" spans="1:4" x14ac:dyDescent="0.3">
      <c r="A88" s="12" t="s">
        <v>17</v>
      </c>
      <c r="B88" s="12" t="s">
        <v>19</v>
      </c>
      <c r="C88" s="12" t="s">
        <v>4</v>
      </c>
      <c r="D88">
        <v>-797910</v>
      </c>
    </row>
    <row r="89" spans="1:4" x14ac:dyDescent="0.3">
      <c r="A89" s="12" t="s">
        <v>17</v>
      </c>
      <c r="B89" s="12" t="s">
        <v>19</v>
      </c>
      <c r="C89" s="12" t="s">
        <v>16</v>
      </c>
      <c r="D89">
        <v>19082</v>
      </c>
    </row>
    <row r="90" spans="1:4" x14ac:dyDescent="0.3">
      <c r="A90" s="12" t="s">
        <v>17</v>
      </c>
      <c r="B90" s="12" t="s">
        <v>19</v>
      </c>
      <c r="C90" s="12" t="s">
        <v>5</v>
      </c>
      <c r="D90">
        <v>707736</v>
      </c>
    </row>
    <row r="91" spans="1:4" x14ac:dyDescent="0.3">
      <c r="A91" s="12" t="s">
        <v>17</v>
      </c>
      <c r="B91" s="12" t="s">
        <v>19</v>
      </c>
      <c r="C91" s="12" t="s">
        <v>6</v>
      </c>
      <c r="D91">
        <v>-870354</v>
      </c>
    </row>
    <row r="92" spans="1:4" x14ac:dyDescent="0.3">
      <c r="A92" s="12" t="s">
        <v>17</v>
      </c>
      <c r="B92" s="12" t="s">
        <v>19</v>
      </c>
      <c r="C92" s="12" t="s">
        <v>7</v>
      </c>
      <c r="D92">
        <v>444139</v>
      </c>
    </row>
    <row r="93" spans="1:4" x14ac:dyDescent="0.3">
      <c r="A93" s="12" t="s">
        <v>17</v>
      </c>
      <c r="B93" s="12" t="s">
        <v>19</v>
      </c>
      <c r="C93" s="12" t="s">
        <v>8</v>
      </c>
      <c r="D93">
        <v>1737002</v>
      </c>
    </row>
    <row r="94" spans="1:4" x14ac:dyDescent="0.3">
      <c r="A94" s="12" t="s">
        <v>17</v>
      </c>
      <c r="B94" s="12" t="s">
        <v>19</v>
      </c>
      <c r="C94" s="12" t="s">
        <v>9</v>
      </c>
      <c r="D94">
        <v>51435</v>
      </c>
    </row>
    <row r="95" spans="1:4" x14ac:dyDescent="0.3">
      <c r="A95" s="12" t="s">
        <v>17</v>
      </c>
      <c r="B95" s="12" t="s">
        <v>19</v>
      </c>
      <c r="C95" s="12" t="s">
        <v>10</v>
      </c>
      <c r="D95">
        <v>-44646</v>
      </c>
    </row>
    <row r="96" spans="1:4" x14ac:dyDescent="0.3">
      <c r="A96" s="12" t="s">
        <v>17</v>
      </c>
      <c r="B96" s="12" t="s">
        <v>19</v>
      </c>
      <c r="C96" s="12" t="s">
        <v>11</v>
      </c>
      <c r="D96">
        <v>919657</v>
      </c>
    </row>
    <row r="97" spans="1:4" x14ac:dyDescent="0.3">
      <c r="A97" s="12" t="s">
        <v>17</v>
      </c>
      <c r="B97" s="12" t="s">
        <v>12</v>
      </c>
      <c r="C97" s="12" t="s">
        <v>12</v>
      </c>
      <c r="D97">
        <v>2880136</v>
      </c>
    </row>
    <row r="98" spans="1:4" x14ac:dyDescent="0.3">
      <c r="A98" s="12" t="s">
        <v>17</v>
      </c>
      <c r="B98" s="12" t="s">
        <v>20</v>
      </c>
      <c r="C98" s="12" t="s">
        <v>54</v>
      </c>
      <c r="D98">
        <v>-326365</v>
      </c>
    </row>
    <row r="99" spans="1:4" x14ac:dyDescent="0.3">
      <c r="A99" s="12" t="s">
        <v>17</v>
      </c>
      <c r="B99" s="12" t="s">
        <v>20</v>
      </c>
      <c r="C99" s="12" t="s">
        <v>3</v>
      </c>
      <c r="D99">
        <v>123937</v>
      </c>
    </row>
    <row r="100" spans="1:4" x14ac:dyDescent="0.3">
      <c r="A100" s="12" t="s">
        <v>17</v>
      </c>
      <c r="B100" s="12" t="s">
        <v>20</v>
      </c>
      <c r="C100" s="12" t="s">
        <v>4</v>
      </c>
      <c r="D100">
        <v>75104</v>
      </c>
    </row>
    <row r="101" spans="1:4" x14ac:dyDescent="0.3">
      <c r="A101" s="12" t="s">
        <v>17</v>
      </c>
      <c r="B101" s="12" t="s">
        <v>20</v>
      </c>
      <c r="C101" s="12" t="s">
        <v>5</v>
      </c>
      <c r="D101">
        <v>-3052325</v>
      </c>
    </row>
    <row r="102" spans="1:4" x14ac:dyDescent="0.3">
      <c r="A102" s="12" t="s">
        <v>17</v>
      </c>
      <c r="B102" s="12" t="s">
        <v>20</v>
      </c>
      <c r="C102" s="12" t="s">
        <v>6</v>
      </c>
      <c r="D102">
        <v>65342</v>
      </c>
    </row>
    <row r="103" spans="1:4" x14ac:dyDescent="0.3">
      <c r="A103" s="12" t="s">
        <v>17</v>
      </c>
      <c r="B103" s="12" t="s">
        <v>20</v>
      </c>
      <c r="C103" s="12" t="s">
        <v>7</v>
      </c>
      <c r="D103">
        <v>-1227434</v>
      </c>
    </row>
    <row r="104" spans="1:4" x14ac:dyDescent="0.3">
      <c r="A104" s="12" t="s">
        <v>17</v>
      </c>
      <c r="B104" s="12" t="s">
        <v>20</v>
      </c>
      <c r="C104" s="12" t="s">
        <v>8</v>
      </c>
      <c r="D104">
        <v>-1864809</v>
      </c>
    </row>
    <row r="105" spans="1:4" x14ac:dyDescent="0.3">
      <c r="A105" s="12" t="s">
        <v>17</v>
      </c>
      <c r="B105" s="12" t="s">
        <v>20</v>
      </c>
      <c r="C105" s="12" t="s">
        <v>9</v>
      </c>
      <c r="D105">
        <v>-240548</v>
      </c>
    </row>
    <row r="106" spans="1:4" x14ac:dyDescent="0.3">
      <c r="A106" s="12" t="s">
        <v>17</v>
      </c>
      <c r="B106" s="12" t="s">
        <v>20</v>
      </c>
      <c r="C106" s="12" t="s">
        <v>10</v>
      </c>
      <c r="D106">
        <v>-68966</v>
      </c>
    </row>
    <row r="107" spans="1:4" x14ac:dyDescent="0.3">
      <c r="A107" s="12" t="s">
        <v>17</v>
      </c>
      <c r="B107" s="12" t="s">
        <v>20</v>
      </c>
      <c r="C107" s="12" t="s">
        <v>11</v>
      </c>
      <c r="D107">
        <v>-545339</v>
      </c>
    </row>
    <row r="108" spans="1:4" x14ac:dyDescent="0.3">
      <c r="A108" s="12" t="s">
        <v>17</v>
      </c>
      <c r="B108" s="12" t="s">
        <v>12</v>
      </c>
      <c r="C108" s="12" t="s">
        <v>12</v>
      </c>
      <c r="D108">
        <v>-7061405</v>
      </c>
    </row>
    <row r="109" spans="1:4" x14ac:dyDescent="0.3">
      <c r="A109" s="12" t="s">
        <v>17</v>
      </c>
      <c r="B109" s="12" t="s">
        <v>21</v>
      </c>
      <c r="C109" s="12" t="s">
        <v>3</v>
      </c>
      <c r="D109">
        <v>10067</v>
      </c>
    </row>
    <row r="110" spans="1:4" x14ac:dyDescent="0.3">
      <c r="A110" s="12" t="s">
        <v>17</v>
      </c>
      <c r="B110" s="12" t="s">
        <v>21</v>
      </c>
      <c r="C110" s="12" t="s">
        <v>4</v>
      </c>
      <c r="D110">
        <v>3216</v>
      </c>
    </row>
    <row r="111" spans="1:4" x14ac:dyDescent="0.3">
      <c r="A111" s="12" t="s">
        <v>17</v>
      </c>
      <c r="B111" s="12" t="s">
        <v>21</v>
      </c>
      <c r="C111" s="12" t="s">
        <v>5</v>
      </c>
      <c r="D111">
        <v>4651</v>
      </c>
    </row>
    <row r="112" spans="1:4" x14ac:dyDescent="0.3">
      <c r="A112" s="12" t="s">
        <v>17</v>
      </c>
      <c r="B112" s="12" t="s">
        <v>21</v>
      </c>
      <c r="C112" s="12" t="s">
        <v>7</v>
      </c>
      <c r="D112">
        <v>-11853</v>
      </c>
    </row>
    <row r="113" spans="1:4" x14ac:dyDescent="0.3">
      <c r="A113" s="12" t="s">
        <v>17</v>
      </c>
      <c r="B113" s="12" t="s">
        <v>21</v>
      </c>
      <c r="C113" s="12" t="s">
        <v>8</v>
      </c>
      <c r="D113">
        <v>7354</v>
      </c>
    </row>
    <row r="114" spans="1:4" x14ac:dyDescent="0.3">
      <c r="A114" s="12" t="s">
        <v>17</v>
      </c>
      <c r="B114" s="12" t="s">
        <v>21</v>
      </c>
      <c r="C114" s="12" t="s">
        <v>11</v>
      </c>
      <c r="D114">
        <v>-1927</v>
      </c>
    </row>
    <row r="115" spans="1:4" x14ac:dyDescent="0.3">
      <c r="A115" s="12" t="s">
        <v>17</v>
      </c>
      <c r="B115" s="12" t="s">
        <v>12</v>
      </c>
      <c r="C115" s="12" t="s">
        <v>12</v>
      </c>
      <c r="D115">
        <v>11508</v>
      </c>
    </row>
    <row r="116" spans="1:4" x14ac:dyDescent="0.3">
      <c r="A116" s="12" t="s">
        <v>17</v>
      </c>
      <c r="B116" s="12" t="s">
        <v>22</v>
      </c>
      <c r="C116" s="12" t="s">
        <v>54</v>
      </c>
      <c r="D116">
        <v>-406</v>
      </c>
    </row>
    <row r="117" spans="1:4" x14ac:dyDescent="0.3">
      <c r="A117" s="12" t="s">
        <v>17</v>
      </c>
      <c r="B117" s="12" t="s">
        <v>22</v>
      </c>
      <c r="C117" s="12" t="s">
        <v>3</v>
      </c>
      <c r="D117">
        <v>-71302</v>
      </c>
    </row>
    <row r="118" spans="1:4" x14ac:dyDescent="0.3">
      <c r="A118" s="12" t="s">
        <v>17</v>
      </c>
      <c r="B118" s="12" t="s">
        <v>22</v>
      </c>
      <c r="C118" s="12" t="s">
        <v>4</v>
      </c>
      <c r="D118">
        <v>-74374</v>
      </c>
    </row>
    <row r="119" spans="1:4" x14ac:dyDescent="0.3">
      <c r="A119" s="12" t="s">
        <v>17</v>
      </c>
      <c r="B119" s="12" t="s">
        <v>22</v>
      </c>
      <c r="C119" s="12" t="s">
        <v>16</v>
      </c>
      <c r="D119">
        <v>-3818</v>
      </c>
    </row>
    <row r="120" spans="1:4" x14ac:dyDescent="0.3">
      <c r="A120" s="12" t="s">
        <v>17</v>
      </c>
      <c r="B120" s="12" t="s">
        <v>22</v>
      </c>
      <c r="C120" s="12" t="s">
        <v>5</v>
      </c>
      <c r="D120">
        <v>-311342</v>
      </c>
    </row>
    <row r="121" spans="1:4" x14ac:dyDescent="0.3">
      <c r="A121" s="12" t="s">
        <v>17</v>
      </c>
      <c r="B121" s="12" t="s">
        <v>22</v>
      </c>
      <c r="C121" s="12" t="s">
        <v>6</v>
      </c>
      <c r="D121">
        <v>-117472</v>
      </c>
    </row>
    <row r="122" spans="1:4" x14ac:dyDescent="0.3">
      <c r="A122" s="12" t="s">
        <v>17</v>
      </c>
      <c r="B122" s="12" t="s">
        <v>22</v>
      </c>
      <c r="C122" s="12" t="s">
        <v>7</v>
      </c>
      <c r="D122">
        <v>-1141343</v>
      </c>
    </row>
    <row r="123" spans="1:4" x14ac:dyDescent="0.3">
      <c r="A123" s="12" t="s">
        <v>17</v>
      </c>
      <c r="B123" s="12" t="s">
        <v>22</v>
      </c>
      <c r="C123" s="12" t="s">
        <v>8</v>
      </c>
      <c r="D123">
        <v>-455620</v>
      </c>
    </row>
    <row r="124" spans="1:4" x14ac:dyDescent="0.3">
      <c r="A124" s="12" t="s">
        <v>17</v>
      </c>
      <c r="B124" s="12" t="s">
        <v>22</v>
      </c>
      <c r="C124" s="12" t="s">
        <v>9</v>
      </c>
      <c r="D124">
        <v>-55478</v>
      </c>
    </row>
    <row r="125" spans="1:4" x14ac:dyDescent="0.3">
      <c r="A125" s="12" t="s">
        <v>17</v>
      </c>
      <c r="B125" s="12" t="s">
        <v>22</v>
      </c>
      <c r="C125" s="12" t="s">
        <v>10</v>
      </c>
      <c r="D125">
        <v>-3485</v>
      </c>
    </row>
    <row r="126" spans="1:4" x14ac:dyDescent="0.3">
      <c r="A126" s="12" t="s">
        <v>17</v>
      </c>
      <c r="B126" s="12" t="s">
        <v>22</v>
      </c>
      <c r="C126" s="12" t="s">
        <v>11</v>
      </c>
      <c r="D126">
        <v>-175306</v>
      </c>
    </row>
    <row r="127" spans="1:4" x14ac:dyDescent="0.3">
      <c r="A127" s="12" t="s">
        <v>17</v>
      </c>
      <c r="B127" s="12" t="s">
        <v>22</v>
      </c>
      <c r="C127" s="12" t="s">
        <v>9</v>
      </c>
      <c r="D127">
        <v>-1577</v>
      </c>
    </row>
    <row r="128" spans="1:4" x14ac:dyDescent="0.3">
      <c r="A128" s="12" t="s">
        <v>17</v>
      </c>
      <c r="B128" s="12" t="s">
        <v>22</v>
      </c>
      <c r="C128" s="12" t="s">
        <v>3</v>
      </c>
      <c r="D128">
        <v>-106333</v>
      </c>
    </row>
    <row r="129" spans="1:4" x14ac:dyDescent="0.3">
      <c r="A129" s="12" t="s">
        <v>17</v>
      </c>
      <c r="B129" s="12" t="s">
        <v>22</v>
      </c>
      <c r="C129" s="12" t="s">
        <v>4</v>
      </c>
      <c r="D129">
        <v>-1046255</v>
      </c>
    </row>
    <row r="130" spans="1:4" x14ac:dyDescent="0.3">
      <c r="A130" s="12" t="s">
        <v>17</v>
      </c>
      <c r="B130" s="12" t="s">
        <v>22</v>
      </c>
      <c r="C130" s="12" t="s">
        <v>16</v>
      </c>
      <c r="D130">
        <v>-23914</v>
      </c>
    </row>
    <row r="131" spans="1:4" x14ac:dyDescent="0.3">
      <c r="A131" s="12" t="s">
        <v>17</v>
      </c>
      <c r="B131" s="12" t="s">
        <v>22</v>
      </c>
      <c r="C131" s="12" t="s">
        <v>5</v>
      </c>
      <c r="D131">
        <v>-3464368</v>
      </c>
    </row>
    <row r="132" spans="1:4" x14ac:dyDescent="0.3">
      <c r="A132" s="12" t="s">
        <v>17</v>
      </c>
      <c r="B132" s="12" t="s">
        <v>22</v>
      </c>
      <c r="C132" s="12" t="s">
        <v>6</v>
      </c>
      <c r="D132">
        <v>426531</v>
      </c>
    </row>
    <row r="133" spans="1:4" x14ac:dyDescent="0.3">
      <c r="A133" s="12" t="s">
        <v>17</v>
      </c>
      <c r="B133" s="12" t="s">
        <v>22</v>
      </c>
      <c r="C133" s="12" t="s">
        <v>7</v>
      </c>
      <c r="D133">
        <v>61262</v>
      </c>
    </row>
    <row r="134" spans="1:4" x14ac:dyDescent="0.3">
      <c r="A134" s="12" t="s">
        <v>17</v>
      </c>
      <c r="B134" s="12" t="s">
        <v>22</v>
      </c>
      <c r="C134" s="12" t="s">
        <v>8</v>
      </c>
      <c r="D134">
        <v>-787794</v>
      </c>
    </row>
    <row r="135" spans="1:4" x14ac:dyDescent="0.3">
      <c r="A135" s="12" t="s">
        <v>17</v>
      </c>
      <c r="B135" s="12" t="s">
        <v>22</v>
      </c>
      <c r="C135" s="12" t="s">
        <v>9</v>
      </c>
      <c r="D135">
        <v>481833</v>
      </c>
    </row>
    <row r="136" spans="1:4" x14ac:dyDescent="0.3">
      <c r="A136" s="12" t="s">
        <v>17</v>
      </c>
      <c r="B136" s="12" t="s">
        <v>22</v>
      </c>
      <c r="C136" s="12" t="s">
        <v>10</v>
      </c>
      <c r="D136">
        <v>205898</v>
      </c>
    </row>
    <row r="137" spans="1:4" x14ac:dyDescent="0.3">
      <c r="A137" s="12" t="s">
        <v>17</v>
      </c>
      <c r="B137" s="12" t="s">
        <v>22</v>
      </c>
      <c r="C137" s="12" t="s">
        <v>11</v>
      </c>
      <c r="D137">
        <v>360901</v>
      </c>
    </row>
    <row r="138" spans="1:4" x14ac:dyDescent="0.3">
      <c r="A138" s="12" t="s">
        <v>17</v>
      </c>
      <c r="B138" s="12" t="s">
        <v>12</v>
      </c>
      <c r="C138" s="12" t="s">
        <v>12</v>
      </c>
      <c r="D138">
        <v>-6303766</v>
      </c>
    </row>
    <row r="139" spans="1:4" x14ac:dyDescent="0.3">
      <c r="A139" s="12" t="s">
        <v>17</v>
      </c>
      <c r="B139" s="12" t="s">
        <v>23</v>
      </c>
      <c r="C139" s="12" t="s">
        <v>3</v>
      </c>
      <c r="D139">
        <v>-12540</v>
      </c>
    </row>
    <row r="140" spans="1:4" x14ac:dyDescent="0.3">
      <c r="A140" s="12" t="s">
        <v>17</v>
      </c>
      <c r="B140" s="12" t="s">
        <v>23</v>
      </c>
      <c r="C140" s="12" t="s">
        <v>3</v>
      </c>
      <c r="D140">
        <v>-108719</v>
      </c>
    </row>
    <row r="141" spans="1:4" x14ac:dyDescent="0.3">
      <c r="A141" s="12" t="s">
        <v>17</v>
      </c>
      <c r="B141" s="12" t="s">
        <v>23</v>
      </c>
      <c r="C141" s="12" t="s">
        <v>4</v>
      </c>
      <c r="D141">
        <v>-149410</v>
      </c>
    </row>
    <row r="142" spans="1:4" x14ac:dyDescent="0.3">
      <c r="A142" s="12" t="s">
        <v>17</v>
      </c>
      <c r="B142" s="12" t="s">
        <v>23</v>
      </c>
      <c r="C142" s="12" t="s">
        <v>16</v>
      </c>
      <c r="D142">
        <v>-36917</v>
      </c>
    </row>
    <row r="143" spans="1:4" x14ac:dyDescent="0.3">
      <c r="A143" s="12" t="s">
        <v>17</v>
      </c>
      <c r="B143" s="12" t="s">
        <v>23</v>
      </c>
      <c r="C143" s="12" t="s">
        <v>5</v>
      </c>
      <c r="D143">
        <v>45242</v>
      </c>
    </row>
    <row r="144" spans="1:4" x14ac:dyDescent="0.3">
      <c r="A144" s="12" t="s">
        <v>17</v>
      </c>
      <c r="B144" s="12" t="s">
        <v>23</v>
      </c>
      <c r="C144" s="12" t="s">
        <v>6</v>
      </c>
      <c r="D144">
        <v>3348</v>
      </c>
    </row>
    <row r="145" spans="1:4" x14ac:dyDescent="0.3">
      <c r="A145" s="12" t="s">
        <v>17</v>
      </c>
      <c r="B145" s="12" t="s">
        <v>23</v>
      </c>
      <c r="C145" s="12" t="s">
        <v>7</v>
      </c>
      <c r="D145">
        <v>-62033</v>
      </c>
    </row>
    <row r="146" spans="1:4" x14ac:dyDescent="0.3">
      <c r="A146" s="12" t="s">
        <v>17</v>
      </c>
      <c r="B146" s="12" t="s">
        <v>23</v>
      </c>
      <c r="C146" s="12" t="s">
        <v>8</v>
      </c>
      <c r="D146">
        <v>249434</v>
      </c>
    </row>
    <row r="147" spans="1:4" x14ac:dyDescent="0.3">
      <c r="A147" s="12" t="s">
        <v>17</v>
      </c>
      <c r="B147" s="12" t="s">
        <v>23</v>
      </c>
      <c r="C147" s="12" t="s">
        <v>9</v>
      </c>
      <c r="D147">
        <v>-114477</v>
      </c>
    </row>
    <row r="148" spans="1:4" x14ac:dyDescent="0.3">
      <c r="A148" s="12" t="s">
        <v>17</v>
      </c>
      <c r="B148" s="12" t="s">
        <v>23</v>
      </c>
      <c r="C148" s="12" t="s">
        <v>10</v>
      </c>
      <c r="D148">
        <v>14736</v>
      </c>
    </row>
    <row r="149" spans="1:4" x14ac:dyDescent="0.3">
      <c r="A149" s="12" t="s">
        <v>17</v>
      </c>
      <c r="B149" s="12" t="s">
        <v>23</v>
      </c>
      <c r="C149" s="12" t="s">
        <v>11</v>
      </c>
      <c r="D149">
        <v>-1217643</v>
      </c>
    </row>
    <row r="150" spans="1:4" x14ac:dyDescent="0.3">
      <c r="A150" s="12" t="s">
        <v>17</v>
      </c>
      <c r="B150" s="12" t="s">
        <v>12</v>
      </c>
      <c r="C150" s="12" t="s">
        <v>12</v>
      </c>
      <c r="D150">
        <v>-1388980</v>
      </c>
    </row>
    <row r="151" spans="1:4" x14ac:dyDescent="0.3">
      <c r="A151" s="12" t="s">
        <v>17</v>
      </c>
      <c r="B151" s="12" t="s">
        <v>24</v>
      </c>
      <c r="C151" s="12" t="s">
        <v>54</v>
      </c>
      <c r="D151">
        <v>-34</v>
      </c>
    </row>
    <row r="152" spans="1:4" x14ac:dyDescent="0.3">
      <c r="A152" s="12" t="s">
        <v>17</v>
      </c>
      <c r="B152" s="12" t="s">
        <v>24</v>
      </c>
      <c r="C152" s="12" t="s">
        <v>3</v>
      </c>
      <c r="D152">
        <v>-148035</v>
      </c>
    </row>
    <row r="153" spans="1:4" x14ac:dyDescent="0.3">
      <c r="A153" s="12" t="s">
        <v>17</v>
      </c>
      <c r="B153" s="12" t="s">
        <v>24</v>
      </c>
      <c r="C153" s="12" t="s">
        <v>4</v>
      </c>
      <c r="D153">
        <v>-57921</v>
      </c>
    </row>
    <row r="154" spans="1:4" x14ac:dyDescent="0.3">
      <c r="A154" s="12" t="s">
        <v>17</v>
      </c>
      <c r="B154" s="12" t="s">
        <v>24</v>
      </c>
      <c r="C154" s="12" t="s">
        <v>16</v>
      </c>
      <c r="D154">
        <v>-39851</v>
      </c>
    </row>
    <row r="155" spans="1:4" x14ac:dyDescent="0.3">
      <c r="A155" s="12" t="s">
        <v>17</v>
      </c>
      <c r="B155" s="12" t="s">
        <v>24</v>
      </c>
      <c r="C155" s="12" t="s">
        <v>5</v>
      </c>
      <c r="D155">
        <v>-70976</v>
      </c>
    </row>
    <row r="156" spans="1:4" x14ac:dyDescent="0.3">
      <c r="A156" s="12" t="s">
        <v>17</v>
      </c>
      <c r="B156" s="12" t="s">
        <v>24</v>
      </c>
      <c r="C156" s="12" t="s">
        <v>6</v>
      </c>
      <c r="D156">
        <v>19230</v>
      </c>
    </row>
    <row r="157" spans="1:4" x14ac:dyDescent="0.3">
      <c r="A157" s="12" t="s">
        <v>17</v>
      </c>
      <c r="B157" s="12" t="s">
        <v>24</v>
      </c>
      <c r="C157" s="12" t="s">
        <v>7</v>
      </c>
      <c r="D157">
        <v>295635</v>
      </c>
    </row>
    <row r="158" spans="1:4" x14ac:dyDescent="0.3">
      <c r="A158" s="12" t="s">
        <v>17</v>
      </c>
      <c r="B158" s="12" t="s">
        <v>24</v>
      </c>
      <c r="C158" s="12" t="s">
        <v>8</v>
      </c>
      <c r="D158">
        <v>-233717</v>
      </c>
    </row>
    <row r="159" spans="1:4" x14ac:dyDescent="0.3">
      <c r="A159" s="12" t="s">
        <v>17</v>
      </c>
      <c r="B159" s="12" t="s">
        <v>24</v>
      </c>
      <c r="C159" s="12" t="s">
        <v>9</v>
      </c>
      <c r="D159">
        <v>79257</v>
      </c>
    </row>
    <row r="160" spans="1:4" x14ac:dyDescent="0.3">
      <c r="A160" s="12" t="s">
        <v>17</v>
      </c>
      <c r="B160" s="12" t="s">
        <v>24</v>
      </c>
      <c r="C160" s="12" t="s">
        <v>10</v>
      </c>
      <c r="D160">
        <v>8482</v>
      </c>
    </row>
    <row r="161" spans="1:4" x14ac:dyDescent="0.3">
      <c r="A161" s="12" t="s">
        <v>17</v>
      </c>
      <c r="B161" s="12" t="s">
        <v>24</v>
      </c>
      <c r="C161" s="12" t="s">
        <v>11</v>
      </c>
      <c r="D161">
        <v>-100148</v>
      </c>
    </row>
    <row r="162" spans="1:4" x14ac:dyDescent="0.3">
      <c r="A162" s="12" t="s">
        <v>17</v>
      </c>
      <c r="B162" s="12" t="s">
        <v>24</v>
      </c>
      <c r="C162" s="12" t="s">
        <v>9</v>
      </c>
      <c r="D162">
        <v>-5352</v>
      </c>
    </row>
    <row r="163" spans="1:4" x14ac:dyDescent="0.3">
      <c r="A163" s="12" t="s">
        <v>17</v>
      </c>
      <c r="B163" s="12" t="s">
        <v>24</v>
      </c>
      <c r="C163" s="12" t="s">
        <v>11</v>
      </c>
      <c r="D163">
        <v>-3100</v>
      </c>
    </row>
    <row r="164" spans="1:4" x14ac:dyDescent="0.3">
      <c r="A164" s="12" t="s">
        <v>17</v>
      </c>
      <c r="B164" s="12" t="s">
        <v>24</v>
      </c>
      <c r="C164" s="12" t="s">
        <v>3</v>
      </c>
      <c r="D164">
        <v>8511</v>
      </c>
    </row>
    <row r="165" spans="1:4" x14ac:dyDescent="0.3">
      <c r="A165" s="12" t="s">
        <v>17</v>
      </c>
      <c r="B165" s="12" t="s">
        <v>24</v>
      </c>
      <c r="C165" s="12" t="s">
        <v>4</v>
      </c>
      <c r="D165">
        <v>30375</v>
      </c>
    </row>
    <row r="166" spans="1:4" x14ac:dyDescent="0.3">
      <c r="A166" s="12" t="s">
        <v>17</v>
      </c>
      <c r="B166" s="12" t="s">
        <v>24</v>
      </c>
      <c r="C166" s="12" t="s">
        <v>16</v>
      </c>
      <c r="D166">
        <v>160714</v>
      </c>
    </row>
    <row r="167" spans="1:4" x14ac:dyDescent="0.3">
      <c r="A167" s="12" t="s">
        <v>17</v>
      </c>
      <c r="B167" s="12" t="s">
        <v>24</v>
      </c>
      <c r="C167" s="12" t="s">
        <v>5</v>
      </c>
      <c r="D167">
        <v>59142</v>
      </c>
    </row>
    <row r="168" spans="1:4" x14ac:dyDescent="0.3">
      <c r="A168" s="12" t="s">
        <v>17</v>
      </c>
      <c r="B168" s="12" t="s">
        <v>24</v>
      </c>
      <c r="C168" s="12" t="s">
        <v>6</v>
      </c>
      <c r="D168">
        <v>94285</v>
      </c>
    </row>
    <row r="169" spans="1:4" x14ac:dyDescent="0.3">
      <c r="A169" s="12" t="s">
        <v>17</v>
      </c>
      <c r="B169" s="12" t="s">
        <v>24</v>
      </c>
      <c r="C169" s="12" t="s">
        <v>7</v>
      </c>
      <c r="D169">
        <v>50078</v>
      </c>
    </row>
    <row r="170" spans="1:4" x14ac:dyDescent="0.3">
      <c r="A170" s="12" t="s">
        <v>17</v>
      </c>
      <c r="B170" s="12" t="s">
        <v>24</v>
      </c>
      <c r="C170" s="12" t="s">
        <v>8</v>
      </c>
      <c r="D170">
        <v>142946</v>
      </c>
    </row>
    <row r="171" spans="1:4" x14ac:dyDescent="0.3">
      <c r="A171" s="12" t="s">
        <v>17</v>
      </c>
      <c r="B171" s="12" t="s">
        <v>24</v>
      </c>
      <c r="C171" s="12" t="s">
        <v>11</v>
      </c>
      <c r="D171">
        <v>65118</v>
      </c>
    </row>
    <row r="172" spans="1:4" x14ac:dyDescent="0.3">
      <c r="A172" s="12" t="s">
        <v>17</v>
      </c>
      <c r="B172" s="12" t="s">
        <v>24</v>
      </c>
      <c r="C172" s="12" t="s">
        <v>3</v>
      </c>
      <c r="D172">
        <v>1233</v>
      </c>
    </row>
    <row r="173" spans="1:4" x14ac:dyDescent="0.3">
      <c r="A173" s="12" t="s">
        <v>17</v>
      </c>
      <c r="B173" s="12" t="s">
        <v>24</v>
      </c>
      <c r="C173" s="12" t="s">
        <v>4</v>
      </c>
      <c r="D173">
        <v>143547</v>
      </c>
    </row>
    <row r="174" spans="1:4" x14ac:dyDescent="0.3">
      <c r="A174" s="12" t="s">
        <v>17</v>
      </c>
      <c r="B174" s="12" t="s">
        <v>24</v>
      </c>
      <c r="C174" s="12" t="s">
        <v>16</v>
      </c>
      <c r="D174">
        <v>42652</v>
      </c>
    </row>
    <row r="175" spans="1:4" x14ac:dyDescent="0.3">
      <c r="A175" s="12" t="s">
        <v>17</v>
      </c>
      <c r="B175" s="12" t="s">
        <v>24</v>
      </c>
      <c r="C175" s="12" t="s">
        <v>5</v>
      </c>
      <c r="D175">
        <v>749448</v>
      </c>
    </row>
    <row r="176" spans="1:4" x14ac:dyDescent="0.3">
      <c r="A176" s="12" t="s">
        <v>17</v>
      </c>
      <c r="B176" s="12" t="s">
        <v>24</v>
      </c>
      <c r="C176" s="12" t="s">
        <v>6</v>
      </c>
      <c r="D176">
        <v>-197448</v>
      </c>
    </row>
    <row r="177" spans="1:4" x14ac:dyDescent="0.3">
      <c r="A177" s="12" t="s">
        <v>17</v>
      </c>
      <c r="B177" s="12" t="s">
        <v>24</v>
      </c>
      <c r="C177" s="12" t="s">
        <v>7</v>
      </c>
      <c r="D177">
        <v>382457</v>
      </c>
    </row>
    <row r="178" spans="1:4" x14ac:dyDescent="0.3">
      <c r="A178" s="12" t="s">
        <v>17</v>
      </c>
      <c r="B178" s="12" t="s">
        <v>24</v>
      </c>
      <c r="C178" s="12" t="s">
        <v>8</v>
      </c>
      <c r="D178">
        <v>223410</v>
      </c>
    </row>
    <row r="179" spans="1:4" x14ac:dyDescent="0.3">
      <c r="A179" s="12" t="s">
        <v>17</v>
      </c>
      <c r="B179" s="12" t="s">
        <v>24</v>
      </c>
      <c r="C179" s="12" t="s">
        <v>9</v>
      </c>
      <c r="D179">
        <v>-69392</v>
      </c>
    </row>
    <row r="180" spans="1:4" x14ac:dyDescent="0.3">
      <c r="A180" s="12" t="s">
        <v>17</v>
      </c>
      <c r="B180" s="12" t="s">
        <v>24</v>
      </c>
      <c r="C180" s="12" t="s">
        <v>10</v>
      </c>
      <c r="D180">
        <v>80635</v>
      </c>
    </row>
    <row r="181" spans="1:4" x14ac:dyDescent="0.3">
      <c r="A181" s="12" t="s">
        <v>17</v>
      </c>
      <c r="B181" s="12" t="s">
        <v>24</v>
      </c>
      <c r="C181" s="12" t="s">
        <v>11</v>
      </c>
      <c r="D181">
        <v>-270086</v>
      </c>
    </row>
    <row r="182" spans="1:4" x14ac:dyDescent="0.3">
      <c r="A182" s="12" t="s">
        <v>17</v>
      </c>
      <c r="B182" s="12" t="s">
        <v>12</v>
      </c>
      <c r="C182" s="12" t="s">
        <v>12</v>
      </c>
      <c r="D182">
        <v>1441097</v>
      </c>
    </row>
    <row r="183" spans="1:4" x14ac:dyDescent="0.3">
      <c r="A183" s="12" t="s">
        <v>17</v>
      </c>
      <c r="B183" s="12" t="s">
        <v>25</v>
      </c>
      <c r="C183" s="12" t="s">
        <v>54</v>
      </c>
      <c r="D183">
        <v>326875</v>
      </c>
    </row>
    <row r="184" spans="1:4" x14ac:dyDescent="0.3">
      <c r="A184" s="12" t="s">
        <v>17</v>
      </c>
      <c r="B184" s="12" t="s">
        <v>25</v>
      </c>
      <c r="C184" s="12" t="s">
        <v>11</v>
      </c>
      <c r="D184">
        <v>-14796</v>
      </c>
    </row>
    <row r="185" spans="1:4" x14ac:dyDescent="0.3">
      <c r="A185" s="12" t="s">
        <v>17</v>
      </c>
      <c r="B185" s="12" t="s">
        <v>25</v>
      </c>
      <c r="C185" s="12" t="s">
        <v>3</v>
      </c>
      <c r="D185">
        <v>10986</v>
      </c>
    </row>
    <row r="186" spans="1:4" x14ac:dyDescent="0.3">
      <c r="A186" s="12" t="s">
        <v>17</v>
      </c>
      <c r="B186" s="12" t="s">
        <v>25</v>
      </c>
      <c r="C186" s="12" t="s">
        <v>4</v>
      </c>
      <c r="D186">
        <v>33129</v>
      </c>
    </row>
    <row r="187" spans="1:4" x14ac:dyDescent="0.3">
      <c r="A187" s="12" t="s">
        <v>17</v>
      </c>
      <c r="B187" s="12" t="s">
        <v>25</v>
      </c>
      <c r="C187" s="12" t="s">
        <v>16</v>
      </c>
      <c r="D187">
        <v>2387</v>
      </c>
    </row>
    <row r="188" spans="1:4" x14ac:dyDescent="0.3">
      <c r="A188" s="12" t="s">
        <v>17</v>
      </c>
      <c r="B188" s="12" t="s">
        <v>25</v>
      </c>
      <c r="C188" s="12" t="s">
        <v>5</v>
      </c>
      <c r="D188">
        <v>-108749</v>
      </c>
    </row>
    <row r="189" spans="1:4" x14ac:dyDescent="0.3">
      <c r="A189" s="12" t="s">
        <v>17</v>
      </c>
      <c r="B189" s="12" t="s">
        <v>25</v>
      </c>
      <c r="C189" s="12" t="s">
        <v>6</v>
      </c>
      <c r="D189">
        <v>-217165</v>
      </c>
    </row>
    <row r="190" spans="1:4" x14ac:dyDescent="0.3">
      <c r="A190" s="12" t="s">
        <v>17</v>
      </c>
      <c r="B190" s="12" t="s">
        <v>25</v>
      </c>
      <c r="C190" s="12" t="s">
        <v>7</v>
      </c>
      <c r="D190">
        <v>-232977</v>
      </c>
    </row>
    <row r="191" spans="1:4" x14ac:dyDescent="0.3">
      <c r="A191" s="12" t="s">
        <v>17</v>
      </c>
      <c r="B191" s="12" t="s">
        <v>25</v>
      </c>
      <c r="C191" s="12" t="s">
        <v>8</v>
      </c>
      <c r="D191">
        <v>-40305</v>
      </c>
    </row>
    <row r="192" spans="1:4" x14ac:dyDescent="0.3">
      <c r="A192" s="12" t="s">
        <v>17</v>
      </c>
      <c r="B192" s="12" t="s">
        <v>25</v>
      </c>
      <c r="C192" s="12" t="s">
        <v>9</v>
      </c>
      <c r="D192">
        <v>1241</v>
      </c>
    </row>
    <row r="193" spans="1:4" x14ac:dyDescent="0.3">
      <c r="A193" s="12" t="s">
        <v>17</v>
      </c>
      <c r="B193" s="12" t="s">
        <v>25</v>
      </c>
      <c r="C193" s="12" t="s">
        <v>10</v>
      </c>
      <c r="D193">
        <v>-1772</v>
      </c>
    </row>
    <row r="194" spans="1:4" x14ac:dyDescent="0.3">
      <c r="A194" s="12" t="s">
        <v>17</v>
      </c>
      <c r="B194" s="12" t="s">
        <v>25</v>
      </c>
      <c r="C194" s="12" t="s">
        <v>11</v>
      </c>
      <c r="D194">
        <v>-1451733</v>
      </c>
    </row>
    <row r="195" spans="1:4" x14ac:dyDescent="0.3">
      <c r="A195" s="12" t="s">
        <v>17</v>
      </c>
      <c r="B195" s="12" t="s">
        <v>12</v>
      </c>
      <c r="C195" s="12" t="s">
        <v>12</v>
      </c>
      <c r="D195">
        <v>-1692880</v>
      </c>
    </row>
    <row r="196" spans="1:4" x14ac:dyDescent="0.3">
      <c r="A196" s="12" t="s">
        <v>17</v>
      </c>
      <c r="B196" s="12" t="s">
        <v>12</v>
      </c>
      <c r="C196" s="12" t="s">
        <v>12</v>
      </c>
      <c r="D196">
        <v>7519708</v>
      </c>
    </row>
  </sheetData>
  <phoneticPr fontId="3" type="noConversion"/>
  <pageMargins left="1" right="1" top="1" bottom="1" header="0.5" footer="0.5"/>
  <pageSetup scale="26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8C5A7-5C69-46A5-AB8A-D380D0678324}">
  <dimension ref="B2:Q30"/>
  <sheetViews>
    <sheetView tabSelected="1" zoomScale="70" zoomScaleNormal="70" workbookViewId="0">
      <selection activeCell="G18" sqref="G18"/>
    </sheetView>
  </sheetViews>
  <sheetFormatPr defaultColWidth="9" defaultRowHeight="14.4" x14ac:dyDescent="0.3"/>
  <cols>
    <col min="1" max="1" width="9" style="1"/>
    <col min="2" max="3" width="20.59765625" style="1" customWidth="1"/>
    <col min="4" max="13" width="17.59765625" style="1" customWidth="1"/>
    <col min="14" max="14" width="17.59765625" customWidth="1"/>
    <col min="15" max="15" width="17.59765625" style="1" customWidth="1"/>
    <col min="16" max="17" width="9.69921875" style="1" bestFit="1" customWidth="1"/>
    <col min="18" max="16384" width="9" style="1"/>
  </cols>
  <sheetData>
    <row r="2" spans="2:17" ht="22.5" customHeight="1" x14ac:dyDescent="0.25">
      <c r="B2" s="3"/>
      <c r="C2" s="4" t="s">
        <v>34</v>
      </c>
      <c r="D2" s="4" t="s">
        <v>3</v>
      </c>
      <c r="E2" s="4" t="s">
        <v>4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53</v>
      </c>
    </row>
    <row r="3" spans="2:17" ht="22.5" customHeight="1" x14ac:dyDescent="0.25">
      <c r="B3" s="3" t="s">
        <v>35</v>
      </c>
      <c r="C3" s="8">
        <f t="shared" ref="C3:C14" si="0">SUM(D3:N3)</f>
        <v>4.5999999999999959E-5</v>
      </c>
      <c r="D3" s="9">
        <f>(SUMIFS(FIPILIPI[USD], FIPILIPI[Sector], "Cement", FIPILIPI[Investor], "FOREIGN INDIVIDUAL"))/1000000</f>
        <v>0</v>
      </c>
      <c r="E3" s="9">
        <f>(SUMIFS(FIPILIPI[USD], FIPILIPI[Sector], "Fertilizer", FIPILIPI[Investor], "FOREIGN INDIVIDUAL"))/1000000</f>
        <v>0</v>
      </c>
      <c r="F3" s="9">
        <f>(SUMIFS(FIPILIPI[USD], FIPILIPI[Sector], "Food and Personal Care Products", FIPILIPI[Investor], "FOREIGN INDIVIDUAL"))/1000000</f>
        <v>-3.8900000000000002E-4</v>
      </c>
      <c r="G3" s="9">
        <f>(SUMIFS(FIPILIPI[USD], FIPILIPI[Sector], "Oil and Gas Exploration Companies", FIPILIPI[Investor], "FOREIGN INDIVIDUAL"))/1000000</f>
        <v>0</v>
      </c>
      <c r="H3" s="9">
        <f>(SUMIFS(FIPILIPI[USD], FIPILIPI[Sector], "Oil and Gas Marketing Companies", FIPILIPI[Investor], "FOREIGN INDIVIDUAL"))/1000000</f>
        <v>0</v>
      </c>
      <c r="I3" s="9">
        <f>(SUMIFS(FIPILIPI[USD], FIPILIPI[Sector], "Power Generation and Distribution", FIPILIPI[Investor], "FOREIGN INDIVIDUAL"))/1000000</f>
        <v>-6.9999999999999999E-6</v>
      </c>
      <c r="J3" s="9">
        <f>(SUMIFS(FIPILIPI[USD], FIPILIPI[Sector], "Commercial Banks", FIPILIPI[Investor], "FOREIGN INDIVIDUAL"))/1000000</f>
        <v>0</v>
      </c>
      <c r="K3" s="9">
        <f>(SUMIFS(FIPILIPI[USD], FIPILIPI[Sector], "Technology and Communication", FIPILIPI[Investor], "FOREIGN INDIVIDUAL"))/1000000</f>
        <v>4.4999999999999999E-4</v>
      </c>
      <c r="L3" s="9">
        <f>(SUMIFS(FIPILIPI[USD], FIPILIPI[Sector], "Textile Composite", FIPILIPI[Investor], "FOREIGN INDIVIDUAL"))/1000000</f>
        <v>0</v>
      </c>
      <c r="M3" s="9">
        <f>(SUMIFS(FIPILIPI[USD], FIPILIPI[Sector], "All other Sectors", FIPILIPI[Investor], "FOREIGN INDIVIDUAL"))/1000000</f>
        <v>-7.9999999999999996E-6</v>
      </c>
      <c r="N3" s="9">
        <f>(SUMIFS(FIPILIPI[USD], FIPILIPI[Sector], "Debt Market", FIPILIPI[Investor], "FOREIGN INDIVIDUAL"))/1000000</f>
        <v>0</v>
      </c>
    </row>
    <row r="4" spans="2:17" ht="22.5" customHeight="1" x14ac:dyDescent="0.25">
      <c r="B4" s="3" t="s">
        <v>36</v>
      </c>
      <c r="C4" s="8">
        <f t="shared" si="0"/>
        <v>-8.6539420000000007</v>
      </c>
      <c r="D4" s="9">
        <f>(SUMIFS(FIPILIPI[USD], FIPILIPI[Sector], "Cement", FIPILIPI[Investor], "FOREIGN CORPORATES"))/1000000</f>
        <v>-1.0366709999999999</v>
      </c>
      <c r="E4" s="9">
        <f>(SUMIFS(FIPILIPI[USD], FIPILIPI[Sector], "Fertilizer", FIPILIPI[Investor], "FOREIGN CORPORATES"))/1000000</f>
        <v>-0.39922999999999997</v>
      </c>
      <c r="F4" s="9">
        <f>(SUMIFS(FIPILIPI[USD], FIPILIPI[Sector], "Food and Personal Care Products", FIPILIPI[Investor], "FOREIGN CORPORATES"))/1000000</f>
        <v>0</v>
      </c>
      <c r="G4" s="9">
        <f>(SUMIFS(FIPILIPI[USD], FIPILIPI[Sector], "Oil and Gas Exploration Companies", FIPILIPI[Investor], "FOREIGN CORPORATES"))/1000000</f>
        <v>1.7259E-2</v>
      </c>
      <c r="H4" s="9">
        <f>(SUMIFS(FIPILIPI[USD], FIPILIPI[Sector], "Oil and Gas Marketing Companies", FIPILIPI[Investor], "FOREIGN CORPORATES"))/1000000</f>
        <v>-1.8432E-2</v>
      </c>
      <c r="I4" s="9">
        <f>(SUMIFS(FIPILIPI[USD], FIPILIPI[Sector], "Power Generation and Distribution", FIPILIPI[Investor], "FOREIGN CORPORATES"))/1000000</f>
        <v>-6.6882999999999998E-2</v>
      </c>
      <c r="J4" s="9">
        <f>(SUMIFS(FIPILIPI[USD], FIPILIPI[Sector], "Commercial Banks", FIPILIPI[Investor], "FOREIGN CORPORATES"))/1000000</f>
        <v>-7.2062099999999996</v>
      </c>
      <c r="K4" s="9">
        <f>(SUMIFS(FIPILIPI[USD], FIPILIPI[Sector], "Technology and Communication", FIPILIPI[Investor], "FOREIGN CORPORATES"))/1000000</f>
        <v>-0.20253399999999999</v>
      </c>
      <c r="L4" s="9">
        <f>(SUMIFS(FIPILIPI[USD], FIPILIPI[Sector], "Textile Composite", FIPILIPI[Investor], "FOREIGN CORPORATES"))/1000000</f>
        <v>8.0350000000000005E-3</v>
      </c>
      <c r="M4" s="9">
        <f>(SUMIFS(FIPILIPI[USD], FIPILIPI[Sector], "All other Sectors", FIPILIPI[Investor], "FOREIGN CORPORATES"))/1000000</f>
        <v>0.250724</v>
      </c>
      <c r="N4" s="9">
        <f>(SUMIFS(FIPILIPI[USD], FIPILIPI[Sector], "Debt Market", FIPILIPI[Investor], "FOREIGN CORPORATES"))/1000000</f>
        <v>0</v>
      </c>
    </row>
    <row r="5" spans="2:17" ht="22.5" customHeight="1" x14ac:dyDescent="0.25">
      <c r="B5" s="3" t="s">
        <v>37</v>
      </c>
      <c r="C5" s="8">
        <f t="shared" si="0"/>
        <v>1.1341870000000001</v>
      </c>
      <c r="D5" s="9">
        <f>(SUMIFS(FIPILIPI[USD], FIPILIPI[Sector], "Cement", FIPILIPI[Investor], "OVERSEAS PAKISTANI"))/1000000</f>
        <v>0.21398800000000001</v>
      </c>
      <c r="E5" s="9">
        <f>(SUMIFS(FIPILIPI[USD], FIPILIPI[Sector], "Fertilizer", FIPILIPI[Investor], "OVERSEAS PAKISTANI"))/1000000</f>
        <v>0.142731</v>
      </c>
      <c r="F5" s="9">
        <f>(SUMIFS(FIPILIPI[USD], FIPILIPI[Sector], "Food and Personal Care Products", FIPILIPI[Investor], "OVERSEAS PAKISTANI"))/1000000</f>
        <v>0.18272099999999999</v>
      </c>
      <c r="G5" s="9">
        <f>(SUMIFS(FIPILIPI[USD], FIPILIPI[Sector], "Oil and Gas Exploration Companies", FIPILIPI[Investor], "OVERSEAS PAKISTANI"))/1000000</f>
        <v>0.785825</v>
      </c>
      <c r="H5" s="9">
        <f>(SUMIFS(FIPILIPI[USD], FIPILIPI[Sector], "Oil and Gas Marketing Companies", FIPILIPI[Investor], "OVERSEAS PAKISTANI"))/1000000</f>
        <v>-0.856572</v>
      </c>
      <c r="I5" s="9">
        <f>(SUMIFS(FIPILIPI[USD], FIPILIPI[Sector], "Power Generation and Distribution", FIPILIPI[Investor], "OVERSEAS PAKISTANI"))/1000000</f>
        <v>-1.02417</v>
      </c>
      <c r="J5" s="9">
        <f>(SUMIFS(FIPILIPI[USD], FIPILIPI[Sector], "Commercial Banks", FIPILIPI[Investor], "OVERSEAS PAKISTANI"))/1000000</f>
        <v>2.6002990000000001</v>
      </c>
      <c r="K5" s="9">
        <f>(SUMIFS(FIPILIPI[USD], FIPILIPI[Sector], "Technology and Communication", FIPILIPI[Investor], "OVERSEAS PAKISTANI"))/1000000</f>
        <v>0.42472199999999999</v>
      </c>
      <c r="L5" s="9">
        <f>(SUMIFS(FIPILIPI[USD], FIPILIPI[Sector], "Textile Composite", FIPILIPI[Investor], "OVERSEAS PAKISTANI"))/1000000</f>
        <v>-3.9666E-2</v>
      </c>
      <c r="M5" s="9">
        <f>(SUMIFS(FIPILIPI[USD], FIPILIPI[Sector], "All other Sectors", FIPILIPI[Investor], "OVERSEAS PAKISTANI"))/1000000</f>
        <v>-1.2956909999999999</v>
      </c>
      <c r="N5" s="9">
        <f>(SUMIFS(FIPILIPI[USD], FIPILIPI[Sector], "Debt Market", FIPILIPI[Investor], "OVERSEAS PAKISTANI"))/1000000</f>
        <v>0</v>
      </c>
    </row>
    <row r="6" spans="2:17" ht="22.5" customHeight="1" x14ac:dyDescent="0.3">
      <c r="B6" s="3" t="s">
        <v>38</v>
      </c>
      <c r="C6" s="10">
        <f t="shared" si="0"/>
        <v>-7.5197089999999989</v>
      </c>
      <c r="D6" s="10">
        <f>SUM(D3:D5)</f>
        <v>-0.82268299999999983</v>
      </c>
      <c r="E6" s="10">
        <f t="shared" ref="E6:M6" si="1">SUM(E3:E5)</f>
        <v>-0.25649899999999998</v>
      </c>
      <c r="F6" s="10">
        <f t="shared" si="1"/>
        <v>0.18233199999999999</v>
      </c>
      <c r="G6" s="10">
        <f t="shared" si="1"/>
        <v>0.80308400000000002</v>
      </c>
      <c r="H6" s="10">
        <f t="shared" si="1"/>
        <v>-0.875004</v>
      </c>
      <c r="I6" s="10">
        <f t="shared" si="1"/>
        <v>-1.0910599999999999</v>
      </c>
      <c r="J6" s="10">
        <f t="shared" si="1"/>
        <v>-4.605910999999999</v>
      </c>
      <c r="K6" s="10">
        <f t="shared" si="1"/>
        <v>0.222638</v>
      </c>
      <c r="L6" s="10">
        <f t="shared" si="1"/>
        <v>-3.1630999999999999E-2</v>
      </c>
      <c r="M6" s="10">
        <f t="shared" si="1"/>
        <v>-1.044975</v>
      </c>
      <c r="N6" s="11">
        <f>SUM(N3:N5)</f>
        <v>0</v>
      </c>
    </row>
    <row r="7" spans="2:17" ht="22.5" customHeight="1" x14ac:dyDescent="0.25">
      <c r="B7" s="3" t="s">
        <v>39</v>
      </c>
      <c r="C7" s="8">
        <f t="shared" si="0"/>
        <v>19.633997000000001</v>
      </c>
      <c r="D7" s="9">
        <f>(SUMIFS(FIPILIPI[USD], FIPILIPI[Sector], "Cement", FIPILIPI[Investor], "Individuals"))/1000000</f>
        <v>0.66536799999999996</v>
      </c>
      <c r="E7" s="9">
        <f>(SUMIFS(FIPILIPI[USD], FIPILIPI[Sector], "Fertilizer", FIPILIPI[Investor], "Individuals"))/1000000</f>
        <v>2.0991979999999999</v>
      </c>
      <c r="F7" s="9">
        <f>(SUMIFS(FIPILIPI[USD], FIPILIPI[Sector], "Food and Personal Care Products", FIPILIPI[Investor], "Individuals"))/1000000</f>
        <v>-0.293991</v>
      </c>
      <c r="G7" s="9">
        <f>(SUMIFS(FIPILIPI[USD], FIPILIPI[Sector], "Oil and Gas Exploration Companies", FIPILIPI[Investor], "Individuals"))/1000000</f>
        <v>4.5731970000000004</v>
      </c>
      <c r="H7" s="9">
        <f>(SUMIFS(FIPILIPI[USD], FIPILIPI[Sector], "Oil and Gas Marketing Companies", FIPILIPI[Investor], "Individuals"))/1000000</f>
        <v>1.611084</v>
      </c>
      <c r="I7" s="9">
        <f>(SUMIFS(FIPILIPI[USD], FIPILIPI[Sector], "Power Generation and Distribution", FIPILIPI[Investor], "Individuals"))/1000000</f>
        <v>2.4171010000000002</v>
      </c>
      <c r="J7" s="9">
        <f>(SUMIFS(FIPILIPI[USD], FIPILIPI[Sector], "Commercial Banks", FIPILIPI[Investor], "Individuals"))/1000000</f>
        <v>5.5426900000000003</v>
      </c>
      <c r="K7" s="9">
        <f>(SUMIFS(FIPILIPI[USD], FIPILIPI[Sector], "Technology and Communication", FIPILIPI[Investor], "Individuals"))/1000000</f>
        <v>-0.31071100000000001</v>
      </c>
      <c r="L7" s="9">
        <f>(SUMIFS(FIPILIPI[USD], FIPILIPI[Sector], "Textile Composite", FIPILIPI[Investor], "Individuals"))/1000000</f>
        <v>-0.175257</v>
      </c>
      <c r="M7" s="9">
        <f>(SUMIFS(FIPILIPI[USD], FIPILIPI[Sector], "All other Sectors", FIPILIPI[Investor], "Individuals"))/1000000</f>
        <v>3.5053869999999998</v>
      </c>
      <c r="N7" s="9">
        <f>(SUMIFS(FIPILIPI[USD], FIPILIPI[Sector], "Debt Market", FIPILIPI[Investor], "Individuals"))/1000000</f>
        <v>-6.8999999999999997E-5</v>
      </c>
    </row>
    <row r="8" spans="2:17" ht="22.5" customHeight="1" x14ac:dyDescent="0.25">
      <c r="B8" s="3" t="s">
        <v>40</v>
      </c>
      <c r="C8" s="8">
        <f t="shared" si="0"/>
        <v>2.8801340000000004</v>
      </c>
      <c r="D8" s="9">
        <f>(SUMIFS(FIPILIPI[USD], FIPILIPI[Sector], "Cement", FIPILIPI[Investor], "Companies"))/1000000</f>
        <v>0.44950800000000002</v>
      </c>
      <c r="E8" s="9">
        <f>(SUMIFS(FIPILIPI[USD], FIPILIPI[Sector], "Fertilizer", FIPILIPI[Investor], "Companies"))/1000000</f>
        <v>-0.80010899999999996</v>
      </c>
      <c r="F8" s="9">
        <f>(SUMIFS(FIPILIPI[USD], FIPILIPI[Sector], "Food and Personal Care Products", FIPILIPI[Investor], "Companies"))/1000000</f>
        <v>1.0404999999999999E-2</v>
      </c>
      <c r="G8" s="9">
        <f>(SUMIFS(FIPILIPI[USD], FIPILIPI[Sector], "Oil and Gas Exploration Companies", FIPILIPI[Investor], "Companies"))/1000000</f>
        <v>0.77299499999999999</v>
      </c>
      <c r="H8" s="9">
        <f>(SUMIFS(FIPILIPI[USD], FIPILIPI[Sector], "Oil and Gas Marketing Companies", FIPILIPI[Investor], "Companies"))/1000000</f>
        <v>-0.81272999999999995</v>
      </c>
      <c r="I8" s="9">
        <f>(SUMIFS(FIPILIPI[USD], FIPILIPI[Sector], "Power Generation and Distribution", FIPILIPI[Investor], "Companies"))/1000000</f>
        <v>0.56016699999999997</v>
      </c>
      <c r="J8" s="9">
        <f>(SUMIFS(FIPILIPI[USD], FIPILIPI[Sector], "Commercial Banks", FIPILIPI[Investor], "Companies"))/1000000</f>
        <v>1.8223210000000001</v>
      </c>
      <c r="K8" s="9">
        <f>(SUMIFS(FIPILIPI[USD], FIPILIPI[Sector], "Technology and Communication", FIPILIPI[Investor], "Companies"))/1000000</f>
        <v>1.2567E-2</v>
      </c>
      <c r="L8" s="9">
        <f>(SUMIFS(FIPILIPI[USD], FIPILIPI[Sector], "Textile Composite", FIPILIPI[Investor], "Companies"))/1000000</f>
        <v>-2.8639000000000001E-2</v>
      </c>
      <c r="M8" s="9">
        <f>(SUMIFS(FIPILIPI[USD], FIPILIPI[Sector], "All other Sectors", FIPILIPI[Investor], "Companies"))/1000000</f>
        <v>0.89364900000000003</v>
      </c>
      <c r="N8" s="9">
        <f>(SUMIFS(FIPILIPI[USD], FIPILIPI[Sector], "Debt Market", FIPILIPI[Investor], "Companies"))/1000000</f>
        <v>0</v>
      </c>
    </row>
    <row r="9" spans="2:17" ht="22.5" customHeight="1" x14ac:dyDescent="0.25">
      <c r="B9" s="3" t="s">
        <v>41</v>
      </c>
      <c r="C9" s="8">
        <f t="shared" si="0"/>
        <v>-7.0614030000000012</v>
      </c>
      <c r="D9" s="9">
        <f>(SUMIFS(FIPILIPI[USD], FIPILIPI[Sector], "Cement", FIPILIPI[Investor], "BANKS / DFI"))/1000000</f>
        <v>0.12393700000000001</v>
      </c>
      <c r="E9" s="9">
        <f>(SUMIFS(FIPILIPI[USD], FIPILIPI[Sector], "Fertilizer", FIPILIPI[Investor], "BANKS / DFI"))/1000000</f>
        <v>7.5104000000000004E-2</v>
      </c>
      <c r="F9" s="9">
        <f>(SUMIFS(FIPILIPI[USD], FIPILIPI[Sector], "Food and Personal Care Products", FIPILIPI[Investor], "BANKS / DFI"))/1000000</f>
        <v>0</v>
      </c>
      <c r="G9" s="9">
        <f>(SUMIFS(FIPILIPI[USD], FIPILIPI[Sector], "Oil and Gas Exploration Companies", FIPILIPI[Investor], "BANKS / DFI"))/1000000</f>
        <v>-3.0523250000000002</v>
      </c>
      <c r="H9" s="9">
        <f>(SUMIFS(FIPILIPI[USD], FIPILIPI[Sector], "Oil and Gas Marketing Companies", FIPILIPI[Investor], "BANKS / DFI"))/1000000</f>
        <v>6.5341999999999997E-2</v>
      </c>
      <c r="I9" s="9">
        <f>(SUMIFS(FIPILIPI[USD], FIPILIPI[Sector], "Power Generation and Distribution", FIPILIPI[Investor], "BANKS / DFI"))/1000000</f>
        <v>-1.2274339999999999</v>
      </c>
      <c r="J9" s="9">
        <f>(SUMIFS(FIPILIPI[USD], FIPILIPI[Sector], "Commercial Banks", FIPILIPI[Investor], "BANKS / DFI"))/1000000</f>
        <v>-1.8648089999999999</v>
      </c>
      <c r="K9" s="9">
        <f>(SUMIFS(FIPILIPI[USD], FIPILIPI[Sector], "Technology and Communication", FIPILIPI[Investor], "BANKS / DFI"))/1000000</f>
        <v>-0.24054800000000001</v>
      </c>
      <c r="L9" s="9">
        <f>(SUMIFS(FIPILIPI[USD], FIPILIPI[Sector], "Textile Composite", FIPILIPI[Investor], "BANKS / DFI"))/1000000</f>
        <v>-6.8966E-2</v>
      </c>
      <c r="M9" s="9">
        <f>(SUMIFS(FIPILIPI[USD], FIPILIPI[Sector], "All other Sectors", FIPILIPI[Investor], "BANKS / DFI"))/1000000</f>
        <v>-0.54533900000000002</v>
      </c>
      <c r="N9" s="9">
        <f>(SUMIFS(FIPILIPI[USD], FIPILIPI[Sector], "Debt Market", FIPILIPI[Investor], "BANKS / DFI"))/1000000</f>
        <v>-0.32636500000000002</v>
      </c>
    </row>
    <row r="10" spans="2:17" ht="22.5" customHeight="1" x14ac:dyDescent="0.25">
      <c r="B10" s="3" t="s">
        <v>21</v>
      </c>
      <c r="C10" s="8">
        <f t="shared" si="0"/>
        <v>1.1507999999999999E-2</v>
      </c>
      <c r="D10" s="9">
        <f>(SUMIFS(FIPILIPI[USD], FIPILIPI[Sector], "Cement", FIPILIPI[Investor], "NBFC"))/1000000</f>
        <v>1.0067E-2</v>
      </c>
      <c r="E10" s="9">
        <f>(SUMIFS(FIPILIPI[USD], FIPILIPI[Sector], "Fertilizer", FIPILIPI[Investor], "NBFC"))/1000000</f>
        <v>3.2160000000000001E-3</v>
      </c>
      <c r="F10" s="9">
        <f>(SUMIFS(FIPILIPI[USD], FIPILIPI[Sector], "Food and Personal Care Products", FIPILIPI[Investor], "NBFC"))/1000000</f>
        <v>0</v>
      </c>
      <c r="G10" s="9">
        <f>(SUMIFS(FIPILIPI[USD], FIPILIPI[Sector], "Oil and Gas Exploration Companies", FIPILIPI[Investor], "NBFC"))/1000000</f>
        <v>4.6509999999999998E-3</v>
      </c>
      <c r="H10" s="9">
        <f>(SUMIFS(FIPILIPI[USD], FIPILIPI[Sector], "Oil and Gas Marketing Companies", FIPILIPI[Investor], "NBFC"))/1000000</f>
        <v>0</v>
      </c>
      <c r="I10" s="9">
        <f>(SUMIFS(FIPILIPI[USD], FIPILIPI[Sector], "Power Generation and Distribution", FIPILIPI[Investor], "NBFC"))/1000000</f>
        <v>-1.1853000000000001E-2</v>
      </c>
      <c r="J10" s="9">
        <f>(SUMIFS(FIPILIPI[USD], FIPILIPI[Sector], "Commercial Banks", FIPILIPI[Investor], "NBFC"))/1000000</f>
        <v>7.3540000000000003E-3</v>
      </c>
      <c r="K10" s="9">
        <f>(SUMIFS(FIPILIPI[USD], FIPILIPI[Sector], "Technology and Communication", FIPILIPI[Investor], "NBFC"))/1000000</f>
        <v>0</v>
      </c>
      <c r="L10" s="9">
        <f>(SUMIFS(FIPILIPI[USD], FIPILIPI[Sector], "Textile Composite", FIPILIPI[Investor], "NBFC"))/1000000</f>
        <v>0</v>
      </c>
      <c r="M10" s="9">
        <f>(SUMIFS(FIPILIPI[USD], FIPILIPI[Sector], "All other Sectors", FIPILIPI[Investor], "NBFC"))/1000000</f>
        <v>-1.9269999999999999E-3</v>
      </c>
      <c r="N10" s="9">
        <f>(SUMIFS(FIPILIPI[USD], FIPILIPI[Sector], "Debt Market", FIPILIPI[Investor], "NBFC"))/1000000</f>
        <v>0</v>
      </c>
    </row>
    <row r="11" spans="2:17" ht="22.5" customHeight="1" x14ac:dyDescent="0.25">
      <c r="B11" s="3" t="s">
        <v>42</v>
      </c>
      <c r="C11" s="8">
        <f t="shared" si="0"/>
        <v>-6.3037619999999999</v>
      </c>
      <c r="D11" s="9">
        <f>(SUMIFS(FIPILIPI[USD], FIPILIPI[Sector], "Cement", FIPILIPI[Investor], "MUTUAL FUNDS"))/1000000</f>
        <v>-0.17763499999999999</v>
      </c>
      <c r="E11" s="9">
        <f>(SUMIFS(FIPILIPI[USD], FIPILIPI[Sector], "Fertilizer", FIPILIPI[Investor], "MUTUAL FUNDS"))/1000000</f>
        <v>-1.1206290000000001</v>
      </c>
      <c r="F11" s="9">
        <f>(SUMIFS(FIPILIPI[USD], FIPILIPI[Sector], "Food and Personal Care Products", FIPILIPI[Investor], "MUTUAL FUNDS"))/1000000</f>
        <v>-2.7732E-2</v>
      </c>
      <c r="G11" s="9">
        <f>(SUMIFS(FIPILIPI[USD], FIPILIPI[Sector], "Oil and Gas Exploration Companies", FIPILIPI[Investor], "MUTUAL FUNDS"))/1000000</f>
        <v>-3.7757100000000001</v>
      </c>
      <c r="H11" s="9">
        <f>(SUMIFS(FIPILIPI[USD], FIPILIPI[Sector], "Oil and Gas Marketing Companies", FIPILIPI[Investor], "MUTUAL FUNDS"))/1000000</f>
        <v>0.30905899999999997</v>
      </c>
      <c r="I11" s="9">
        <f>(SUMIFS(FIPILIPI[USD], FIPILIPI[Sector], "Power Generation and Distribution", FIPILIPI[Investor], "MUTUAL FUNDS"))/1000000</f>
        <v>-1.0800810000000001</v>
      </c>
      <c r="J11" s="9">
        <f>(SUMIFS(FIPILIPI[USD], FIPILIPI[Sector], "Commercial Banks", FIPILIPI[Investor], "MUTUAL FUNDS"))/1000000</f>
        <v>-1.243414</v>
      </c>
      <c r="K11" s="9">
        <f>(SUMIFS(FIPILIPI[USD], FIPILIPI[Sector], "Technology and Communication", FIPILIPI[Investor], "MUTUAL FUNDS"))/1000000</f>
        <v>0.42477799999999999</v>
      </c>
      <c r="L11" s="9">
        <f>(SUMIFS(FIPILIPI[USD], FIPILIPI[Sector], "Textile Composite", FIPILIPI[Investor], "MUTUAL FUNDS"))/1000000</f>
        <v>0.20241300000000001</v>
      </c>
      <c r="M11" s="9">
        <f>(SUMIFS(FIPILIPI[USD], FIPILIPI[Sector], "All other Sectors", FIPILIPI[Investor], "MUTUAL FUNDS"))/1000000</f>
        <v>0.18559500000000001</v>
      </c>
      <c r="N11" s="9">
        <f>(SUMIFS(FIPILIPI[USD], FIPILIPI[Sector], "Debt Market", FIPILIPI[Investor], "MUTUAL FUNDS"))/1000000</f>
        <v>-4.06E-4</v>
      </c>
    </row>
    <row r="12" spans="2:17" ht="22.5" customHeight="1" x14ac:dyDescent="0.25">
      <c r="B12" s="3" t="s">
        <v>43</v>
      </c>
      <c r="C12" s="8">
        <f t="shared" si="0"/>
        <v>-1.388979</v>
      </c>
      <c r="D12" s="9">
        <f>(SUMIFS(FIPILIPI[USD], FIPILIPI[Sector], "Cement", FIPILIPI[Investor], "OTHER ORGANIZATION"))/1000000</f>
        <v>-0.12125900000000001</v>
      </c>
      <c r="E12" s="9">
        <f>(SUMIFS(FIPILIPI[USD], FIPILIPI[Sector], "Fertilizer", FIPILIPI[Investor], "OTHER ORGANIZATION"))/1000000</f>
        <v>-0.14940999999999999</v>
      </c>
      <c r="F12" s="9">
        <f>(SUMIFS(FIPILIPI[USD], FIPILIPI[Sector], "Food and Personal Care Products", FIPILIPI[Investor], "OTHER ORGANIZATION"))/1000000</f>
        <v>-3.6916999999999998E-2</v>
      </c>
      <c r="G12" s="9">
        <f>(SUMIFS(FIPILIPI[USD], FIPILIPI[Sector], "Oil and Gas Exploration Companies", FIPILIPI[Investor], "OTHER ORGANIZATION"))/1000000</f>
        <v>4.5241999999999997E-2</v>
      </c>
      <c r="H12" s="9">
        <f>(SUMIFS(FIPILIPI[USD], FIPILIPI[Sector], "Oil and Gas Marketing Companies", FIPILIPI[Investor], "OTHER ORGANIZATION"))/1000000</f>
        <v>3.3479999999999998E-3</v>
      </c>
      <c r="I12" s="9">
        <f>(SUMIFS(FIPILIPI[USD], FIPILIPI[Sector], "Power Generation and Distribution", FIPILIPI[Investor], "OTHER ORGANIZATION"))/1000000</f>
        <v>-6.2032999999999998E-2</v>
      </c>
      <c r="J12" s="9">
        <f>(SUMIFS(FIPILIPI[USD], FIPILIPI[Sector], "Commercial Banks", FIPILIPI[Investor], "OTHER ORGANIZATION"))/1000000</f>
        <v>0.24943399999999999</v>
      </c>
      <c r="K12" s="9">
        <f>(SUMIFS(FIPILIPI[USD], FIPILIPI[Sector], "Technology and Communication", FIPILIPI[Investor], "OTHER ORGANIZATION"))/1000000</f>
        <v>-0.114477</v>
      </c>
      <c r="L12" s="9">
        <f>(SUMIFS(FIPILIPI[USD], FIPILIPI[Sector], "Textile Composite", FIPILIPI[Investor], "OTHER ORGANIZATION"))/1000000</f>
        <v>1.4736000000000001E-2</v>
      </c>
      <c r="M12" s="9">
        <f>(SUMIFS(FIPILIPI[USD], FIPILIPI[Sector], "All other Sectors", FIPILIPI[Investor], "OTHER ORGANIZATION"))/1000000</f>
        <v>-1.217643</v>
      </c>
      <c r="N12" s="9">
        <f>(SUMIFS(FIPILIPI[USD], FIPILIPI[Sector], "Debt Market", FIPILIPI[Investor], "OTHER ORGANIZATION"))/1000000</f>
        <v>0</v>
      </c>
    </row>
    <row r="13" spans="2:17" ht="22.5" customHeight="1" x14ac:dyDescent="0.25">
      <c r="B13" s="3" t="s">
        <v>44</v>
      </c>
      <c r="C13" s="8">
        <f t="shared" si="0"/>
        <v>1.4410949999999998</v>
      </c>
      <c r="D13" s="9">
        <f>(SUMIFS(FIPILIPI[USD], FIPILIPI[Sector], "Cement", FIPILIPI[Investor], "BROKER PROPRIETARY TRADING"))/1000000</f>
        <v>-0.138291</v>
      </c>
      <c r="E13" s="9">
        <f>(SUMIFS(FIPILIPI[USD], FIPILIPI[Sector], "Fertilizer", FIPILIPI[Investor], "BROKER PROPRIETARY TRADING"))/1000000</f>
        <v>0.11600100000000001</v>
      </c>
      <c r="F13" s="9">
        <f>(SUMIFS(FIPILIPI[USD], FIPILIPI[Sector], "Food and Personal Care Products", FIPILIPI[Investor], "BROKER PROPRIETARY TRADING"))/1000000</f>
        <v>0.16351499999999999</v>
      </c>
      <c r="G13" s="9">
        <f>(SUMIFS(FIPILIPI[USD], FIPILIPI[Sector], "Oil and Gas Exploration Companies", FIPILIPI[Investor], "BROKER PROPRIETARY TRADING"))/1000000</f>
        <v>0.73761399999999999</v>
      </c>
      <c r="H13" s="9">
        <f>(SUMIFS(FIPILIPI[USD], FIPILIPI[Sector], "Oil and Gas Marketing Companies", FIPILIPI[Investor], "BROKER PROPRIETARY TRADING"))/1000000</f>
        <v>-8.3932999999999994E-2</v>
      </c>
      <c r="I13" s="9">
        <f>(SUMIFS(FIPILIPI[USD], FIPILIPI[Sector], "Power Generation and Distribution", FIPILIPI[Investor], "BROKER PROPRIETARY TRADING"))/1000000</f>
        <v>0.72816999999999998</v>
      </c>
      <c r="J13" s="9">
        <f>(SUMIFS(FIPILIPI[USD], FIPILIPI[Sector], "Commercial Banks", FIPILIPI[Investor], "BROKER PROPRIETARY TRADING"))/1000000</f>
        <v>0.13263900000000001</v>
      </c>
      <c r="K13" s="9">
        <f>(SUMIFS(FIPILIPI[USD], FIPILIPI[Sector], "Technology and Communication", FIPILIPI[Investor], "BROKER PROPRIETARY TRADING"))/1000000</f>
        <v>4.5129999999999997E-3</v>
      </c>
      <c r="L13" s="9">
        <f>(SUMIFS(FIPILIPI[USD], FIPILIPI[Sector], "Textile Composite", FIPILIPI[Investor], "BROKER PROPRIETARY TRADING"))/1000000</f>
        <v>8.9117000000000002E-2</v>
      </c>
      <c r="M13" s="9">
        <f>(SUMIFS(FIPILIPI[USD], FIPILIPI[Sector], "All other Sectors", FIPILIPI[Investor], "BROKER PROPRIETARY TRADING"))/1000000</f>
        <v>-0.30821599999999999</v>
      </c>
      <c r="N13" s="9">
        <f>(SUMIFS(FIPILIPI[USD], FIPILIPI[Sector], "Debt Market", FIPILIPI[Investor], "BROKER PROPRIETARY TRADING"))/1000000</f>
        <v>-3.4E-5</v>
      </c>
    </row>
    <row r="14" spans="2:17" ht="22.5" customHeight="1" x14ac:dyDescent="0.25">
      <c r="B14" s="3" t="s">
        <v>45</v>
      </c>
      <c r="C14" s="8">
        <f t="shared" si="0"/>
        <v>-1.6928789999999998</v>
      </c>
      <c r="D14" s="9">
        <f>(SUMIFS(FIPILIPI[USD], FIPILIPI[Sector], "Cement", FIPILIPI[Investor], "INSURANCE COMPANIES"))/1000000</f>
        <v>1.0985999999999999E-2</v>
      </c>
      <c r="E14" s="9">
        <f>(SUMIFS(FIPILIPI[USD], FIPILIPI[Sector], "Fertilizer", FIPILIPI[Investor], "INSURANCE COMPANIES"))/1000000</f>
        <v>3.3128999999999999E-2</v>
      </c>
      <c r="F14" s="9">
        <f>(SUMIFS(FIPILIPI[USD], FIPILIPI[Sector], "Food and Personal Care Products", FIPILIPI[Investor], "INSURANCE COMPANIES"))/1000000</f>
        <v>2.3869999999999998E-3</v>
      </c>
      <c r="G14" s="9">
        <f>(SUMIFS(FIPILIPI[USD], FIPILIPI[Sector], "Oil and Gas Exploration Companies", FIPILIPI[Investor], "INSURANCE COMPANIES"))/1000000</f>
        <v>-0.108749</v>
      </c>
      <c r="H14" s="9">
        <f>(SUMIFS(FIPILIPI[USD], FIPILIPI[Sector], "Oil and Gas Marketing Companies", FIPILIPI[Investor], "INSURANCE COMPANIES"))/1000000</f>
        <v>-0.217165</v>
      </c>
      <c r="I14" s="9">
        <f>(SUMIFS(FIPILIPI[USD], FIPILIPI[Sector], "Power Generation and Distribution", FIPILIPI[Investor], "INSURANCE COMPANIES"))/1000000</f>
        <v>-0.23297699999999999</v>
      </c>
      <c r="J14" s="9">
        <f>(SUMIFS(FIPILIPI[USD], FIPILIPI[Sector], "Commercial Banks", FIPILIPI[Investor], "INSURANCE COMPANIES"))/1000000</f>
        <v>-4.0305000000000001E-2</v>
      </c>
      <c r="K14" s="9">
        <f>(SUMIFS(FIPILIPI[USD], FIPILIPI[Sector], "Technology and Communication", FIPILIPI[Investor], "INSURANCE COMPANIES"))/1000000</f>
        <v>1.2409999999999999E-3</v>
      </c>
      <c r="L14" s="9">
        <f>(SUMIFS(FIPILIPI[USD], FIPILIPI[Sector], "Textile Composite", FIPILIPI[Investor], "INSURANCE COMPANIES"))/1000000</f>
        <v>-1.7719999999999999E-3</v>
      </c>
      <c r="M14" s="9">
        <f>(SUMIFS(FIPILIPI[USD], FIPILIPI[Sector], "All other Sectors", FIPILIPI[Investor], "INSURANCE COMPANIES"))/1000000</f>
        <v>-1.466529</v>
      </c>
      <c r="N14" s="9">
        <f>(SUMIFS(FIPILIPI[USD], FIPILIPI[Sector], "Debt Market", FIPILIPI[Investor], "INSURANCE COMPANIES"))/1000000</f>
        <v>0.32687500000000003</v>
      </c>
    </row>
    <row r="15" spans="2:17" ht="22.5" customHeight="1" x14ac:dyDescent="0.25">
      <c r="B15" s="3" t="s">
        <v>46</v>
      </c>
      <c r="C15" s="10">
        <f>SUM(C7:C14)</f>
        <v>7.5197110000000009</v>
      </c>
      <c r="D15" s="10">
        <f>SUM(D7:D14)</f>
        <v>0.82268100000000011</v>
      </c>
      <c r="E15" s="10">
        <f t="shared" ref="E15:N15" si="2">SUM(E7:E14)</f>
        <v>0.25650000000000006</v>
      </c>
      <c r="F15" s="10">
        <f t="shared" si="2"/>
        <v>-0.18233299999999997</v>
      </c>
      <c r="G15" s="10">
        <f t="shared" si="2"/>
        <v>-0.80308500000000005</v>
      </c>
      <c r="H15" s="10">
        <f t="shared" si="2"/>
        <v>0.87500499999999981</v>
      </c>
      <c r="I15" s="10">
        <f t="shared" si="2"/>
        <v>1.0910600000000001</v>
      </c>
      <c r="J15" s="10">
        <f t="shared" si="2"/>
        <v>4.6059100000000015</v>
      </c>
      <c r="K15" s="10">
        <f t="shared" si="2"/>
        <v>-0.22263700000000008</v>
      </c>
      <c r="L15" s="10">
        <f t="shared" si="2"/>
        <v>3.1632000000000014E-2</v>
      </c>
      <c r="M15" s="10">
        <f t="shared" si="2"/>
        <v>1.0449769999999998</v>
      </c>
      <c r="N15" s="10">
        <f t="shared" si="2"/>
        <v>1.0000000000287557E-6</v>
      </c>
    </row>
    <row r="16" spans="2:17" x14ac:dyDescent="0.3">
      <c r="Q16" s="2"/>
    </row>
    <row r="17" spans="2:6" s="3" customFormat="1" ht="29.25" customHeight="1" x14ac:dyDescent="0.3"/>
    <row r="18" spans="2:6" s="3" customFormat="1" ht="23.25" customHeight="1" x14ac:dyDescent="0.3">
      <c r="B18" s="5" t="s">
        <v>47</v>
      </c>
      <c r="C18" s="4" t="s">
        <v>49</v>
      </c>
      <c r="E18" s="5" t="s">
        <v>48</v>
      </c>
      <c r="F18" s="4" t="s">
        <v>49</v>
      </c>
    </row>
    <row r="19" spans="2:6" s="3" customFormat="1" ht="23.25" customHeight="1" x14ac:dyDescent="0.3">
      <c r="B19" s="3" t="str">
        <f>B7</f>
        <v>Individuals</v>
      </c>
      <c r="C19" s="7">
        <f t="shared" ref="C19:C26" si="3">(C7)</f>
        <v>19.633997000000001</v>
      </c>
      <c r="E19" s="3" t="str" cm="1">
        <f t="array" ref="E19:E28">TRANSPOSE(D2:M2)</f>
        <v>Cement</v>
      </c>
      <c r="F19" s="7">
        <f>(D15)</f>
        <v>0.82268100000000011</v>
      </c>
    </row>
    <row r="20" spans="2:6" s="3" customFormat="1" ht="23.25" customHeight="1" x14ac:dyDescent="0.3">
      <c r="B20" s="3" t="str">
        <f t="shared" ref="B20:B26" si="4">B8</f>
        <v>Companies</v>
      </c>
      <c r="C20" s="7">
        <f t="shared" si="3"/>
        <v>2.8801340000000004</v>
      </c>
      <c r="E20" s="3" t="str">
        <v>Fertilizer</v>
      </c>
      <c r="F20" s="7">
        <f>(E15)</f>
        <v>0.25650000000000006</v>
      </c>
    </row>
    <row r="21" spans="2:6" s="3" customFormat="1" ht="23.25" customHeight="1" x14ac:dyDescent="0.3">
      <c r="B21" s="3" t="str">
        <f t="shared" si="4"/>
        <v>Banks/DFI</v>
      </c>
      <c r="C21" s="7">
        <f t="shared" si="3"/>
        <v>-7.0614030000000012</v>
      </c>
      <c r="E21" s="3" t="str">
        <v>Food</v>
      </c>
      <c r="F21" s="7">
        <f>(F15)</f>
        <v>-0.18233299999999997</v>
      </c>
    </row>
    <row r="22" spans="2:6" s="3" customFormat="1" ht="23.25" customHeight="1" x14ac:dyDescent="0.3">
      <c r="B22" s="3" t="str">
        <f t="shared" si="4"/>
        <v>NBFC</v>
      </c>
      <c r="C22" s="7">
        <f t="shared" si="3"/>
        <v>1.1507999999999999E-2</v>
      </c>
      <c r="E22" s="3" t="str">
        <v>OGEC</v>
      </c>
      <c r="F22" s="7">
        <f>(G15)</f>
        <v>-0.80308500000000005</v>
      </c>
    </row>
    <row r="23" spans="2:6" s="3" customFormat="1" ht="23.25" customHeight="1" x14ac:dyDescent="0.3">
      <c r="B23" s="3" t="str">
        <f t="shared" si="4"/>
        <v>Mutual Funds</v>
      </c>
      <c r="C23" s="7">
        <f t="shared" si="3"/>
        <v>-6.3037619999999999</v>
      </c>
      <c r="E23" s="3" t="str">
        <v>OGMC</v>
      </c>
      <c r="F23" s="7">
        <f>(H15)</f>
        <v>0.87500499999999981</v>
      </c>
    </row>
    <row r="24" spans="2:6" s="3" customFormat="1" ht="23.25" customHeight="1" x14ac:dyDescent="0.3">
      <c r="B24" s="3" t="str">
        <f t="shared" si="4"/>
        <v>Other ORGs</v>
      </c>
      <c r="C24" s="7">
        <f t="shared" si="3"/>
        <v>-1.388979</v>
      </c>
      <c r="E24" s="3" t="str">
        <v>Power</v>
      </c>
      <c r="F24" s="7">
        <f>(I15)</f>
        <v>1.0910600000000001</v>
      </c>
    </row>
    <row r="25" spans="2:6" s="3" customFormat="1" ht="23.25" customHeight="1" x14ac:dyDescent="0.3">
      <c r="B25" s="3" t="str">
        <f t="shared" si="4"/>
        <v>Brokers</v>
      </c>
      <c r="C25" s="7">
        <f t="shared" si="3"/>
        <v>1.4410949999999998</v>
      </c>
      <c r="E25" s="3" t="str">
        <v>Banks</v>
      </c>
      <c r="F25" s="7">
        <f>(J15)</f>
        <v>4.6059100000000015</v>
      </c>
    </row>
    <row r="26" spans="2:6" s="3" customFormat="1" ht="23.25" customHeight="1" x14ac:dyDescent="0.3">
      <c r="B26" s="3" t="str">
        <f t="shared" si="4"/>
        <v>Insurance</v>
      </c>
      <c r="C26" s="7">
        <f t="shared" si="3"/>
        <v>-1.6928789999999998</v>
      </c>
      <c r="E26" s="3" t="str">
        <v>Technology</v>
      </c>
      <c r="F26" s="7">
        <f>(K15)</f>
        <v>-0.22263700000000008</v>
      </c>
    </row>
    <row r="27" spans="2:6" s="3" customFormat="1" ht="23.25" customHeight="1" x14ac:dyDescent="0.3">
      <c r="E27" s="3" t="str">
        <v>Textile</v>
      </c>
      <c r="F27" s="7">
        <f>(L15)</f>
        <v>3.1632000000000014E-2</v>
      </c>
    </row>
    <row r="28" spans="2:6" s="3" customFormat="1" ht="23.25" customHeight="1" x14ac:dyDescent="0.3">
      <c r="E28" s="3" t="str">
        <v>Others</v>
      </c>
      <c r="F28" s="7">
        <f>(M15)</f>
        <v>1.0449769999999998</v>
      </c>
    </row>
    <row r="29" spans="2:6" s="3" customFormat="1" ht="23.25" customHeight="1" x14ac:dyDescent="0.3">
      <c r="D29" s="6"/>
    </row>
    <row r="30" spans="2:6" s="3" customFormat="1" ht="23.25" customHeight="1" x14ac:dyDescent="0.3"/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BA7EBF-6533-415F-9822-B04F6DFE81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FIPILIPI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Khan</dc:creator>
  <cp:lastModifiedBy>Hadi Khan</cp:lastModifiedBy>
  <cp:lastPrinted>2025-12-16T15:55:25Z</cp:lastPrinted>
  <dcterms:created xsi:type="dcterms:W3CDTF">2025-12-16T10:28:06Z</dcterms:created>
  <dcterms:modified xsi:type="dcterms:W3CDTF">2026-02-08T00:14:12Z</dcterms:modified>
</cp:coreProperties>
</file>